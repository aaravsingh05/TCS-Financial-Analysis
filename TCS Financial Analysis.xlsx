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arav\Finance Certifications\Financial Models\"/>
    </mc:Choice>
  </mc:AlternateContent>
  <xr:revisionPtr revIDLastSave="0" documentId="13_ncr:1_{602CC625-DB04-43C0-A4B3-25A531FA879F}" xr6:coauthVersionLast="47" xr6:coauthVersionMax="47" xr10:uidLastSave="{00000000-0000-0000-0000-000000000000}"/>
  <bookViews>
    <workbookView xWindow="-108" yWindow="-108" windowWidth="23256" windowHeight="12456" xr2:uid="{0850DCCB-E9B2-477C-9913-E34553D0F24B}"/>
  </bookViews>
  <sheets>
    <sheet name="Cover" sheetId="1" r:id="rId1"/>
    <sheet name="Financial Statements" sheetId="3" r:id="rId2"/>
    <sheet name="DATA" sheetId="4" state="hidden" r:id="rId3"/>
    <sheet name="Ratios" sheetId="5" r:id="rId4"/>
    <sheet name="3-Step DuPont" sheetId="6" r:id="rId5"/>
    <sheet name="5-Step DuPont" sheetId="7" r:id="rId6"/>
  </sheets>
  <definedNames>
    <definedName name="_xlnm.Print_Area" localSheetId="1">'Financial Statements'!$B$8:$O$42,'Financial Statements'!$B$44:$O$75,'Financial Statements'!$B$81:$O$124</definedName>
  </definedNames>
  <calcPr calcId="191029" iterate="1" iterateDelta="400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14" i="7" l="1"/>
  <c r="P22" i="7"/>
  <c r="L14" i="7"/>
  <c r="H22" i="7"/>
  <c r="D14" i="7"/>
  <c r="T15" i="6"/>
  <c r="L15" i="6"/>
  <c r="D15" i="6"/>
  <c r="M13" i="3" l="1"/>
  <c r="J89" i="3"/>
  <c r="K89" i="3"/>
  <c r="L89" i="3"/>
  <c r="M89" i="3"/>
  <c r="N89" i="3"/>
  <c r="O89" i="3"/>
  <c r="J90" i="3"/>
  <c r="K90" i="3"/>
  <c r="L90" i="3"/>
  <c r="M90" i="3"/>
  <c r="N90" i="3"/>
  <c r="O90" i="3"/>
  <c r="J93" i="3"/>
  <c r="K93" i="3"/>
  <c r="L93" i="3"/>
  <c r="M93" i="3"/>
  <c r="N93" i="3"/>
  <c r="O93" i="3"/>
  <c r="J94" i="3"/>
  <c r="K94" i="3"/>
  <c r="L94" i="3"/>
  <c r="M94" i="3"/>
  <c r="N94" i="3"/>
  <c r="O94" i="3"/>
  <c r="J102" i="3"/>
  <c r="K102" i="3"/>
  <c r="L102" i="3"/>
  <c r="M102" i="3"/>
  <c r="N102" i="3"/>
  <c r="O102" i="3"/>
  <c r="J103" i="3"/>
  <c r="K103" i="3"/>
  <c r="L103" i="3"/>
  <c r="M103" i="3"/>
  <c r="N103" i="3"/>
  <c r="O103" i="3"/>
  <c r="J106" i="3"/>
  <c r="K106" i="3"/>
  <c r="L106" i="3"/>
  <c r="M106" i="3"/>
  <c r="N106" i="3"/>
  <c r="O106" i="3"/>
  <c r="J73" i="3"/>
  <c r="J112" i="3"/>
  <c r="K112" i="3"/>
  <c r="K67" i="3" s="1"/>
  <c r="L112" i="3"/>
  <c r="M112" i="3"/>
  <c r="N112" i="3"/>
  <c r="O112" i="3"/>
  <c r="J113" i="3"/>
  <c r="K113" i="3"/>
  <c r="L113" i="3"/>
  <c r="M113" i="3"/>
  <c r="N113" i="3"/>
  <c r="O113" i="3"/>
  <c r="J114" i="3"/>
  <c r="K114" i="3"/>
  <c r="L114" i="3"/>
  <c r="M114" i="3"/>
  <c r="N114" i="3"/>
  <c r="O114" i="3"/>
  <c r="J115" i="3"/>
  <c r="K115" i="3"/>
  <c r="L115" i="3"/>
  <c r="M115" i="3"/>
  <c r="N115" i="3"/>
  <c r="O115" i="3"/>
  <c r="J116" i="3"/>
  <c r="K116" i="3"/>
  <c r="L116" i="3"/>
  <c r="M116" i="3"/>
  <c r="N116" i="3"/>
  <c r="O116" i="3"/>
  <c r="M52" i="3" l="1"/>
  <c r="L95" i="3"/>
  <c r="K95" i="3"/>
  <c r="J95" i="3"/>
  <c r="L104" i="3"/>
  <c r="K104" i="3"/>
  <c r="M95" i="3"/>
  <c r="K52" i="3"/>
  <c r="M104" i="3"/>
  <c r="M60" i="3"/>
  <c r="N104" i="3"/>
  <c r="O95" i="3"/>
  <c r="K51" i="3"/>
  <c r="N95" i="3"/>
  <c r="O104" i="3"/>
  <c r="J104" i="3"/>
  <c r="O67" i="3"/>
  <c r="N52" i="3"/>
  <c r="L52" i="3"/>
  <c r="N67" i="3"/>
  <c r="K53" i="3"/>
  <c r="J51" i="3"/>
  <c r="O52" i="3"/>
  <c r="J60" i="3"/>
  <c r="M53" i="3"/>
  <c r="N51" i="3"/>
  <c r="L51" i="3"/>
  <c r="L53" i="3"/>
  <c r="O53" i="3"/>
  <c r="N53" i="3"/>
  <c r="M51" i="3"/>
  <c r="O60" i="3"/>
  <c r="N68" i="3"/>
  <c r="O51" i="3"/>
  <c r="K60" i="3"/>
  <c r="O68" i="3"/>
  <c r="M67" i="3"/>
  <c r="L60" i="3"/>
  <c r="L67" i="3"/>
  <c r="J67" i="3"/>
  <c r="M68" i="3"/>
  <c r="L68" i="3"/>
  <c r="N60" i="3"/>
  <c r="K68" i="3"/>
  <c r="M54" i="3"/>
  <c r="N54" i="3"/>
  <c r="J52" i="3"/>
  <c r="J68" i="3"/>
  <c r="J53" i="3"/>
  <c r="J117" i="3"/>
  <c r="J54" i="3" l="1"/>
  <c r="K54" i="3"/>
  <c r="L54" i="3"/>
  <c r="O54" i="3"/>
  <c r="N61" i="3"/>
  <c r="L61" i="3"/>
  <c r="K61" i="3"/>
  <c r="O61" i="3"/>
  <c r="M61" i="3"/>
  <c r="O108" i="3"/>
  <c r="K108" i="3"/>
  <c r="M108" i="3"/>
  <c r="L108" i="3"/>
  <c r="N108" i="3"/>
  <c r="J61" i="3"/>
  <c r="J108" i="3"/>
  <c r="M117" i="3" l="1"/>
  <c r="L117" i="3"/>
  <c r="O62" i="3"/>
  <c r="N62" i="3"/>
  <c r="M62" i="3"/>
  <c r="L62" i="3"/>
  <c r="N117" i="3" l="1"/>
  <c r="K117" i="3"/>
  <c r="O117" i="3"/>
  <c r="J62" i="3"/>
  <c r="K62" i="3"/>
  <c r="J120" i="3"/>
  <c r="L120" i="3"/>
  <c r="M120" i="3"/>
  <c r="O120" i="3" l="1"/>
  <c r="K120" i="3"/>
  <c r="N120" i="3"/>
  <c r="O32" i="3"/>
  <c r="N32" i="3"/>
  <c r="M32" i="3"/>
  <c r="L32" i="3"/>
  <c r="K32" i="3"/>
  <c r="J32" i="3"/>
  <c r="O26" i="3"/>
  <c r="N26" i="3"/>
  <c r="M26" i="3"/>
  <c r="L26" i="3"/>
  <c r="K26" i="3"/>
  <c r="J26" i="3"/>
  <c r="O22" i="3"/>
  <c r="N22" i="3"/>
  <c r="M22" i="3"/>
  <c r="L22" i="3"/>
  <c r="K22" i="3"/>
  <c r="O21" i="3"/>
  <c r="O50" i="3" s="1"/>
  <c r="N21" i="3"/>
  <c r="N50" i="3" s="1"/>
  <c r="M21" i="3"/>
  <c r="M50" i="3" s="1"/>
  <c r="L21" i="3"/>
  <c r="L50" i="3" s="1"/>
  <c r="K21" i="3"/>
  <c r="K50" i="3" s="1"/>
  <c r="J22" i="3"/>
  <c r="J21" i="3"/>
  <c r="J50" i="3" s="1"/>
  <c r="O17" i="3"/>
  <c r="N17" i="3"/>
  <c r="M17" i="3"/>
  <c r="L17" i="3"/>
  <c r="K17" i="3"/>
  <c r="J17" i="3"/>
  <c r="O13" i="3"/>
  <c r="N13" i="3"/>
  <c r="L13" i="3"/>
  <c r="K13" i="3"/>
  <c r="O12" i="3"/>
  <c r="N12" i="3"/>
  <c r="M12" i="3"/>
  <c r="L12" i="3"/>
  <c r="K12" i="3"/>
  <c r="J13" i="3"/>
  <c r="J12" i="3"/>
  <c r="K33" i="3" l="1"/>
  <c r="J33" i="3"/>
  <c r="L33" i="3"/>
  <c r="M33" i="3"/>
  <c r="N33" i="3"/>
  <c r="O33" i="3"/>
  <c r="O14" i="3"/>
  <c r="O18" i="3" s="1"/>
  <c r="O23" i="3" s="1"/>
  <c r="J14" i="3"/>
  <c r="J18" i="3" s="1"/>
  <c r="J23" i="3" s="1"/>
  <c r="L14" i="3"/>
  <c r="L18" i="3" s="1"/>
  <c r="L23" i="3" s="1"/>
  <c r="N14" i="3"/>
  <c r="N18" i="3" s="1"/>
  <c r="N23" i="3" s="1"/>
  <c r="M14" i="3"/>
  <c r="M18" i="3" s="1"/>
  <c r="M23" i="3" s="1"/>
  <c r="K14" i="3"/>
  <c r="K18" i="3" s="1"/>
  <c r="K23" i="3" s="1"/>
  <c r="N29" i="3" l="1"/>
  <c r="N30" i="5" s="1"/>
  <c r="J24" i="7" s="1"/>
  <c r="N33" i="5"/>
  <c r="N16" i="7" s="1"/>
  <c r="K29" i="3"/>
  <c r="K30" i="5" s="1"/>
  <c r="G24" i="7" s="1"/>
  <c r="K33" i="5"/>
  <c r="K16" i="7" s="1"/>
  <c r="J29" i="3"/>
  <c r="J30" i="5" s="1"/>
  <c r="F24" i="7" s="1"/>
  <c r="J33" i="5"/>
  <c r="J16" i="7" s="1"/>
  <c r="M29" i="3"/>
  <c r="M30" i="5" s="1"/>
  <c r="I24" i="7" s="1"/>
  <c r="M33" i="5"/>
  <c r="M16" i="7" s="1"/>
  <c r="L29" i="3"/>
  <c r="L30" i="5" s="1"/>
  <c r="H24" i="7" s="1"/>
  <c r="L33" i="5"/>
  <c r="L16" i="7" s="1"/>
  <c r="O29" i="3"/>
  <c r="O30" i="5" s="1"/>
  <c r="K24" i="7" s="1"/>
  <c r="O33" i="5"/>
  <c r="O16" i="7" s="1"/>
  <c r="M36" i="3"/>
  <c r="O36" i="3" l="1"/>
  <c r="O39" i="3" s="1"/>
  <c r="K36" i="3"/>
  <c r="K41" i="3" s="1"/>
  <c r="K66" i="3" s="1"/>
  <c r="K69" i="3" s="1"/>
  <c r="N36" i="3"/>
  <c r="N39" i="3" s="1"/>
  <c r="M41" i="3"/>
  <c r="M66" i="3" s="1"/>
  <c r="M69" i="3" s="1"/>
  <c r="M27" i="5"/>
  <c r="E16" i="7" s="1"/>
  <c r="M12" i="5"/>
  <c r="E17" i="6" s="1"/>
  <c r="L36" i="3"/>
  <c r="L39" i="3" s="1"/>
  <c r="J36" i="3"/>
  <c r="M39" i="3"/>
  <c r="M49" i="3"/>
  <c r="K49" i="3" l="1"/>
  <c r="K56" i="3" s="1"/>
  <c r="K74" i="3" s="1"/>
  <c r="K39" i="3"/>
  <c r="O12" i="5"/>
  <c r="G17" i="6" s="1"/>
  <c r="O27" i="5"/>
  <c r="G16" i="7" s="1"/>
  <c r="O41" i="3"/>
  <c r="O66" i="3" s="1"/>
  <c r="O69" i="3" s="1"/>
  <c r="K12" i="5"/>
  <c r="C17" i="6" s="1"/>
  <c r="O49" i="3"/>
  <c r="O56" i="3" s="1"/>
  <c r="K27" i="5"/>
  <c r="C16" i="7" s="1"/>
  <c r="N12" i="5"/>
  <c r="F17" i="6" s="1"/>
  <c r="N27" i="5"/>
  <c r="F16" i="7" s="1"/>
  <c r="N41" i="3"/>
  <c r="N66" i="3" s="1"/>
  <c r="N69" i="3" s="1"/>
  <c r="N49" i="3"/>
  <c r="N56" i="3" s="1"/>
  <c r="J41" i="3"/>
  <c r="J66" i="3" s="1"/>
  <c r="J69" i="3" s="1"/>
  <c r="J27" i="5"/>
  <c r="B16" i="7" s="1"/>
  <c r="J12" i="5"/>
  <c r="B17" i="6" s="1"/>
  <c r="J49" i="3"/>
  <c r="J56" i="3" s="1"/>
  <c r="L49" i="3"/>
  <c r="L56" i="3" s="1"/>
  <c r="L41" i="3"/>
  <c r="L66" i="3" s="1"/>
  <c r="L69" i="3" s="1"/>
  <c r="L27" i="5"/>
  <c r="D16" i="7" s="1"/>
  <c r="L12" i="5"/>
  <c r="D17" i="6" s="1"/>
  <c r="J39" i="3"/>
  <c r="M56" i="3"/>
  <c r="M74" i="3" s="1"/>
  <c r="O74" i="3" l="1"/>
  <c r="N74" i="3"/>
  <c r="J74" i="3"/>
  <c r="J75" i="3" s="1"/>
  <c r="K73" i="3" s="1"/>
  <c r="K75" i="3" s="1"/>
  <c r="L74" i="3"/>
  <c r="J88" i="3" l="1"/>
  <c r="J91" i="3" s="1"/>
  <c r="J97" i="3" s="1"/>
  <c r="J123" i="3" s="1"/>
  <c r="L73" i="3"/>
  <c r="L75" i="3" s="1"/>
  <c r="K88" i="3"/>
  <c r="K91" i="3" s="1"/>
  <c r="K97" i="3" s="1"/>
  <c r="J39" i="5" l="1"/>
  <c r="R16" i="7" s="1"/>
  <c r="J15" i="5"/>
  <c r="J17" i="6" s="1"/>
  <c r="J18" i="5"/>
  <c r="R17" i="6" s="1"/>
  <c r="J36" i="5"/>
  <c r="N24" i="7" s="1"/>
  <c r="K123" i="3"/>
  <c r="K39" i="5"/>
  <c r="S16" i="7" s="1"/>
  <c r="K36" i="5"/>
  <c r="O24" i="7" s="1"/>
  <c r="K18" i="5"/>
  <c r="S17" i="6" s="1"/>
  <c r="K15" i="5"/>
  <c r="K17" i="6" s="1"/>
  <c r="M73" i="3"/>
  <c r="M75" i="3" s="1"/>
  <c r="L88" i="3"/>
  <c r="L91" i="3" s="1"/>
  <c r="L97" i="3" s="1"/>
  <c r="J10" i="6" l="1"/>
  <c r="J9" i="7"/>
  <c r="K10" i="6"/>
  <c r="K9" i="7"/>
  <c r="L123" i="3"/>
  <c r="L39" i="5"/>
  <c r="T16" i="7" s="1"/>
  <c r="L36" i="5"/>
  <c r="P24" i="7" s="1"/>
  <c r="L15" i="5"/>
  <c r="L17" i="6" s="1"/>
  <c r="L18" i="5"/>
  <c r="T17" i="6" s="1"/>
  <c r="N73" i="3"/>
  <c r="N75" i="3" s="1"/>
  <c r="M88" i="3"/>
  <c r="M91" i="3" s="1"/>
  <c r="M97" i="3" s="1"/>
  <c r="L9" i="7" l="1"/>
  <c r="L10" i="6"/>
  <c r="M123" i="3"/>
  <c r="M39" i="5"/>
  <c r="U16" i="7" s="1"/>
  <c r="M36" i="5"/>
  <c r="Q24" i="7" s="1"/>
  <c r="M18" i="5"/>
  <c r="U17" i="6" s="1"/>
  <c r="M15" i="5"/>
  <c r="M17" i="6" s="1"/>
  <c r="O73" i="3"/>
  <c r="O75" i="3" s="1"/>
  <c r="O88" i="3" s="1"/>
  <c r="O91" i="3" s="1"/>
  <c r="O97" i="3" s="1"/>
  <c r="N88" i="3"/>
  <c r="N91" i="3" s="1"/>
  <c r="N97" i="3" s="1"/>
  <c r="M9" i="7" l="1"/>
  <c r="M10" i="6"/>
  <c r="N123" i="3"/>
  <c r="N39" i="5"/>
  <c r="V16" i="7" s="1"/>
  <c r="N36" i="5"/>
  <c r="R24" i="7" s="1"/>
  <c r="N18" i="5"/>
  <c r="V17" i="6" s="1"/>
  <c r="N15" i="5"/>
  <c r="N17" i="6" s="1"/>
  <c r="O123" i="3"/>
  <c r="O39" i="5"/>
  <c r="W16" i="7" s="1"/>
  <c r="O36" i="5"/>
  <c r="S24" i="7" s="1"/>
  <c r="O18" i="5"/>
  <c r="W17" i="6" s="1"/>
  <c r="O15" i="5"/>
  <c r="O17" i="6" s="1"/>
  <c r="N10" i="6" l="1"/>
  <c r="N9" i="7"/>
  <c r="O10" i="6"/>
  <c r="O9" i="7"/>
</calcChain>
</file>

<file path=xl/sharedStrings.xml><?xml version="1.0" encoding="utf-8"?>
<sst xmlns="http://schemas.openxmlformats.org/spreadsheetml/2006/main" count="262" uniqueCount="186">
  <si>
    <t>Revenue</t>
  </si>
  <si>
    <t>Information Technology and Consultancy Services</t>
  </si>
  <si>
    <t>Sale of Equipment and Software Licenses</t>
  </si>
  <si>
    <t>Total Revenue</t>
  </si>
  <si>
    <t>Cost of Revenues</t>
  </si>
  <si>
    <t>Cost of Services</t>
  </si>
  <si>
    <t>Employee Cost</t>
  </si>
  <si>
    <t>Fees to External Consultants</t>
  </si>
  <si>
    <t>Cost of Equipment and Software Licenses</t>
  </si>
  <si>
    <t>Depreciation</t>
  </si>
  <si>
    <t>Travel</t>
  </si>
  <si>
    <t>Communication</t>
  </si>
  <si>
    <t>Facility Expenses</t>
  </si>
  <si>
    <t>Other Costs</t>
  </si>
  <si>
    <t>Total Cost of Revenues</t>
  </si>
  <si>
    <t>Gross Profit</t>
  </si>
  <si>
    <t>Operating Expenses</t>
  </si>
  <si>
    <t>Selling, General and Administrative Expenses</t>
  </si>
  <si>
    <t>Provision for Doubtful Debts</t>
  </si>
  <si>
    <t>Total Operating Expenses</t>
  </si>
  <si>
    <t>Operating Income</t>
  </si>
  <si>
    <t>Total Other Income/(Expense)</t>
  </si>
  <si>
    <t>Income Before Income Taxes</t>
  </si>
  <si>
    <t>Total Taxes</t>
  </si>
  <si>
    <t>Net Profit After Taxes</t>
  </si>
  <si>
    <t>Adjustments for Minority Interests</t>
  </si>
  <si>
    <t>Non-controlling interests</t>
  </si>
  <si>
    <t>Net Income Before Extraordinary Items</t>
  </si>
  <si>
    <t>Net Income After Extraordinary Items</t>
  </si>
  <si>
    <t>Basic and Diluted EPS (after adjusting for bonus shares)</t>
  </si>
  <si>
    <t>Dividend Per share (INR)</t>
  </si>
  <si>
    <t>Weighted average no of shares used in computing Basic and Diluted EPS</t>
  </si>
  <si>
    <t>Back</t>
  </si>
  <si>
    <t>TCS Consolidated Balance Sheet as per IFRS - INR Mn</t>
  </si>
  <si>
    <t xml:space="preserve">Period Ending </t>
  </si>
  <si>
    <t>ASSETS</t>
  </si>
  <si>
    <t>Current Assets</t>
  </si>
  <si>
    <t>Cash and Cash Equivalents</t>
  </si>
  <si>
    <t>Bank Deposits</t>
  </si>
  <si>
    <t>Trade Receivables</t>
  </si>
  <si>
    <t>Investments</t>
  </si>
  <si>
    <t>Other Current Financial Assets</t>
  </si>
  <si>
    <t>Unbilled Receivables (PY: Unbilled Revenue)</t>
  </si>
  <si>
    <t>Current Income Tax assets</t>
  </si>
  <si>
    <t>Other Current Assets</t>
  </si>
  <si>
    <t>Total Current Assets</t>
  </si>
  <si>
    <t>Non Current assets</t>
  </si>
  <si>
    <t>Other Non Current Financial Assets</t>
  </si>
  <si>
    <t>Non Current Income Tax Assets</t>
  </si>
  <si>
    <t>Deferred Income Tax Assets</t>
  </si>
  <si>
    <t>Property, Plant and Equipment, net</t>
  </si>
  <si>
    <t>Right-of-use assets</t>
  </si>
  <si>
    <t>Goodwill, net</t>
  </si>
  <si>
    <t>Other Intangible Assets, net</t>
  </si>
  <si>
    <t>Other Non-Current Assets</t>
  </si>
  <si>
    <t>Total Non-Current Assets</t>
  </si>
  <si>
    <t>Total Assets</t>
  </si>
  <si>
    <t>LIABILITIES AND SHAREHOLDER'S EQUITY</t>
  </si>
  <si>
    <t>Liabilities</t>
  </si>
  <si>
    <t>Current Liabilities</t>
  </si>
  <si>
    <t>Trade and Other Payables</t>
  </si>
  <si>
    <t>Short-term Borrowings</t>
  </si>
  <si>
    <t>Mandatorily Redeemable Preference shares with Tata Sons Ltd</t>
  </si>
  <si>
    <t>Lease liabilities</t>
  </si>
  <si>
    <t>Other Current Financial Liabilities</t>
  </si>
  <si>
    <t>Unearned and Deferred Revenue</t>
  </si>
  <si>
    <t>Employee Benefit Obligations</t>
  </si>
  <si>
    <t>Other provisions</t>
  </si>
  <si>
    <t>Current Income Tax Liabilities</t>
  </si>
  <si>
    <t>Accrued Expenses and Other Current Liabilities</t>
  </si>
  <si>
    <t>Total Current Liabilities</t>
  </si>
  <si>
    <t>Non Current Liabilities</t>
  </si>
  <si>
    <t>Long-Term Debt / Borrowings</t>
  </si>
  <si>
    <t>Other Non Current Financial Liabilities</t>
  </si>
  <si>
    <t>Unearned and deferred revenue</t>
  </si>
  <si>
    <t>Employee Benefit Obligation</t>
  </si>
  <si>
    <t>Deferred Income Tax Liabilities</t>
  </si>
  <si>
    <t>Other Non-Current Liabilities</t>
  </si>
  <si>
    <t>Total Non Current Liabilities</t>
  </si>
  <si>
    <t>Total Liabilities</t>
  </si>
  <si>
    <t>Shareholders' Equity</t>
  </si>
  <si>
    <t>Share Capital</t>
  </si>
  <si>
    <t>Share premium</t>
  </si>
  <si>
    <t>Other reserves</t>
  </si>
  <si>
    <t>Retained Earnings</t>
  </si>
  <si>
    <t>Total Shareholders' Equity</t>
  </si>
  <si>
    <t>Non Controlling Interests</t>
  </si>
  <si>
    <t>Total Liabilities and Shareholders' Equity</t>
  </si>
  <si>
    <t>FY19</t>
  </si>
  <si>
    <t>FY20</t>
  </si>
  <si>
    <t>FY21</t>
  </si>
  <si>
    <t>FY22</t>
  </si>
  <si>
    <t>FY23</t>
  </si>
  <si>
    <t>FY24</t>
  </si>
  <si>
    <t>TCS Consolidated Income Statement as per IFRS - INR Mn</t>
  </si>
  <si>
    <t>FY18</t>
  </si>
  <si>
    <t>EX-ADJ ***</t>
  </si>
  <si>
    <t>EX-ADJ ****</t>
  </si>
  <si>
    <t>Notes :</t>
  </si>
  <si>
    <t>From 1QFY12, Consolidated Financial Statements are being prepared in accordance with the International Financial Reporting Standards (IFRS) as issued by the International Accounting Standards Board (IASB)</t>
  </si>
  <si>
    <t xml:space="preserve">On April 4, 2014, the Company announced that it has chosen to apply IFRS 9 w.e.f April 1, 2013, much ahead of its mandatory adoption, because we believe the new standard is better aligned with our risk management policy and practice than the earlier IAS 39 standard. In accordance with the transition provisions set out in IFRS 9, we have restated the Net Foreign Exchange Gains / Losses as reported under IAS 39 from 1Q FY12 till 3Q FY14. The cells impacted by this restatement are colored light blue. For more details, please refer to Notes to Accounts to our Financial Statements. </t>
  </si>
  <si>
    <r>
      <t xml:space="preserve">* For Detailed schedules and Notes to Accounts, please visit </t>
    </r>
    <r>
      <rPr>
        <u/>
        <sz val="10"/>
        <rFont val="Arial Unicode MS"/>
        <family val="2"/>
      </rPr>
      <t>www.tcs.com/investors/financial_info</t>
    </r>
  </si>
  <si>
    <t>** Ex-Adj excludes One time Special Employee Rewards of ` 26,279 Mn in 4QFY15 and FY15 in the Consolidated Income Statement.  Numbers including the one time adjustment are mentioned in the impacted Cell Comments.</t>
  </si>
  <si>
    <t>***Ex Adj  excludes legal claim provision; Impact on Operating Margin INR 1,218 Crore; Net Margin INR 958 Crore. Numbers including the one time adjustment are mentioned in the impacted Cell Comments.</t>
  </si>
  <si>
    <t>****Ex Adj  excludes legal claim provision; Impact on Operating Margin INR 958 Crore; Net Margin INR 677 Crore. Numbers including the one time adjustment are mentioned in the impacted Cell Comments.</t>
  </si>
  <si>
    <t>*****Ex Adj  excludes legal claim provision; Impact on Operating Margin INR 1,135 Crore; Net Margin INR 829 Crore. Numbers including the one time adjustment are mentioned in the impacted Cell Comments.</t>
  </si>
  <si>
    <t>Income Statement</t>
  </si>
  <si>
    <t>All figures in INR Crores unless stated</t>
  </si>
  <si>
    <t>COGS</t>
  </si>
  <si>
    <t>SG&amp;A</t>
  </si>
  <si>
    <t>EBITDA</t>
  </si>
  <si>
    <t>Depreciation and Amortisation</t>
  </si>
  <si>
    <t>EBIT</t>
  </si>
  <si>
    <t>Interest Expense</t>
  </si>
  <si>
    <t>Interest Income</t>
  </si>
  <si>
    <t>Exceptional Expense</t>
  </si>
  <si>
    <t>EBT</t>
  </si>
  <si>
    <t>Current Tax</t>
  </si>
  <si>
    <t>Total Tax</t>
  </si>
  <si>
    <t>Net Income</t>
  </si>
  <si>
    <t>Cash Flow Statement</t>
  </si>
  <si>
    <t>CASH FROM OPERATING</t>
  </si>
  <si>
    <t>Cash From Accounts Receivable</t>
  </si>
  <si>
    <t>Cash From Accounts Payable</t>
  </si>
  <si>
    <t>Subtotal</t>
  </si>
  <si>
    <t/>
  </si>
  <si>
    <t>CASH FROM INVESTING</t>
  </si>
  <si>
    <t>Capital Expenditure</t>
  </si>
  <si>
    <t>CASH FROM FINANCING</t>
  </si>
  <si>
    <t>Dividends</t>
  </si>
  <si>
    <t>CASH BALANCE</t>
  </si>
  <si>
    <t>Beginning of the Year</t>
  </si>
  <si>
    <t>Increase / (Decrease)</t>
  </si>
  <si>
    <t>End of the Year</t>
  </si>
  <si>
    <t>Balance Sheet</t>
  </si>
  <si>
    <t>Cash</t>
  </si>
  <si>
    <t>Accounts Receivable</t>
  </si>
  <si>
    <t>Property Plant &amp; Equipment</t>
  </si>
  <si>
    <t>LIABILITIES</t>
  </si>
  <si>
    <t>Accounts Payable</t>
  </si>
  <si>
    <t>EQUITY</t>
  </si>
  <si>
    <t>Common Equity</t>
  </si>
  <si>
    <t>Total Liabilities &amp; Equity</t>
  </si>
  <si>
    <t>Check</t>
  </si>
  <si>
    <t>Other Income/(Expenses)</t>
  </si>
  <si>
    <t>Total Non Current Assets</t>
  </si>
  <si>
    <t>Other Current Liabilities</t>
  </si>
  <si>
    <t>Share Premium</t>
  </si>
  <si>
    <t>Other Non Current Assets</t>
  </si>
  <si>
    <t>No of Equity Shares</t>
  </si>
  <si>
    <t>Earning per Share</t>
  </si>
  <si>
    <t>Other Reserves</t>
  </si>
  <si>
    <t>Cash From Other Current Liabilities</t>
  </si>
  <si>
    <t>Dividends:</t>
  </si>
  <si>
    <t>Non-Controlling Interest</t>
  </si>
  <si>
    <t>Total Liabilties</t>
  </si>
  <si>
    <t>Change in Other Current Assets</t>
  </si>
  <si>
    <t>Cash from Other Non-Current Assets</t>
  </si>
  <si>
    <t>Change in Share Capital</t>
  </si>
  <si>
    <t>Change in Share Premium</t>
  </si>
  <si>
    <t>Other Adjustments</t>
  </si>
  <si>
    <t xml:space="preserve">“Other Adjustments” captures cash movements within aggregated balance-sheet categories that are not disclosed in detail. </t>
  </si>
  <si>
    <r>
      <t xml:space="preserve">Since these sub-items cannot be separately identified, their combined impact is recorded here as a reconciling entry. </t>
    </r>
    <r>
      <rPr>
        <i/>
        <vertAlign val="superscript"/>
        <sz val="9"/>
        <color theme="1"/>
        <rFont val="Aptos"/>
        <family val="2"/>
      </rPr>
      <t>(1)</t>
    </r>
  </si>
  <si>
    <t>3-Step DuPont Analysis</t>
  </si>
  <si>
    <t xml:space="preserve">Net Profit Margin </t>
  </si>
  <si>
    <t>=</t>
  </si>
  <si>
    <t>Asset Turnover</t>
  </si>
  <si>
    <t>Equity Multiplier</t>
  </si>
  <si>
    <t>5-Step DuPont Analysis</t>
  </si>
  <si>
    <t>Tax Burden</t>
  </si>
  <si>
    <t>Earnings Before Tax</t>
  </si>
  <si>
    <t>Interest Burden</t>
  </si>
  <si>
    <t>EBIT Margin</t>
  </si>
  <si>
    <t>Return On Equity</t>
  </si>
  <si>
    <t>Financial Analysis Model</t>
  </si>
  <si>
    <t>Table of Contents:</t>
  </si>
  <si>
    <t>Financial Statements</t>
  </si>
  <si>
    <t>Ratios</t>
  </si>
  <si>
    <t>3-Step DuPont</t>
  </si>
  <si>
    <t>5-Step DuPont</t>
  </si>
  <si>
    <t>Disclaimer:</t>
  </si>
  <si>
    <t>If need be, suggestions and reviews can be made via E-Mail and Linkedin.</t>
  </si>
  <si>
    <t>Thank You, Have a Nice Day</t>
  </si>
  <si>
    <t xml:space="preserve"> and ultimately the dynamicity of the model. </t>
  </si>
  <si>
    <t xml:space="preserve">The following workbook and each cell in it has been protected using a password. It has been done so to preserve the formatting, formulas </t>
  </si>
  <si>
    <t>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</si>
</sst>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_ * #,##0_ ;_ * \-#,##0_ ;_ * &quot;-&quot;??_ ;_ @_ "/>
    <numFmt numFmtId="165" formatCode="_([$$-409]* #,##0_);_([$$-409]* \(#,##0\);_([$$-409]* &quot;-&quot;??_);_(@_)"/>
    <numFmt numFmtId="166" formatCode="_ * #,##0.00_ ;_ * \-#,##0.00_ ;_ * &quot;-&quot;??_ ;_ @_ "/>
    <numFmt numFmtId="167" formatCode="#,##0_);\(#,##0\);\-"/>
    <numFmt numFmtId="168" formatCode="[=1]&quot;Yes&quot;;[=0]&quot;No&quot;"/>
    <numFmt numFmtId="169" formatCode="#,##0.00_);\(#,##0.00\);\-"/>
    <numFmt numFmtId="170" formatCode="0.0%"/>
    <numFmt numFmtId="171" formatCode="#,##0.00\x_);\(#,##0.00\x\);\-"/>
  </numFmts>
  <fonts count="32">
    <font>
      <sz val="11"/>
      <color theme="1"/>
      <name val="Aptos"/>
      <family val="2"/>
    </font>
    <font>
      <sz val="11"/>
      <color theme="1"/>
      <name val="Aptos"/>
      <family val="2"/>
    </font>
    <font>
      <b/>
      <sz val="11"/>
      <color theme="1"/>
      <name val="Aptos"/>
      <family val="2"/>
    </font>
    <font>
      <u/>
      <sz val="11"/>
      <color theme="10"/>
      <name val="Aptos"/>
      <family val="2"/>
    </font>
    <font>
      <b/>
      <sz val="10"/>
      <name val="Arial Unicode MS"/>
      <family val="2"/>
    </font>
    <font>
      <sz val="10"/>
      <name val="Arial Unicode MS"/>
      <family val="2"/>
    </font>
    <font>
      <u/>
      <sz val="10"/>
      <color theme="10"/>
      <name val="Arial Unicode MS"/>
      <family val="2"/>
    </font>
    <font>
      <u/>
      <sz val="10"/>
      <name val="Arial Unicode MS"/>
      <family val="2"/>
    </font>
    <font>
      <sz val="10"/>
      <color theme="1"/>
      <name val="Arial Unicode MS"/>
      <family val="2"/>
    </font>
    <font>
      <sz val="10"/>
      <name val="Rupee Foradian"/>
      <family val="2"/>
    </font>
    <font>
      <sz val="12"/>
      <color rgb="FF000000"/>
      <name val="Calibri"/>
      <family val="2"/>
      <scheme val="minor"/>
    </font>
    <font>
      <b/>
      <sz val="14"/>
      <color theme="0"/>
      <name val="Aptos"/>
      <family val="2"/>
    </font>
    <font>
      <i/>
      <sz val="10"/>
      <color theme="1"/>
      <name val="Aptos"/>
      <family val="2"/>
    </font>
    <font>
      <b/>
      <sz val="11"/>
      <color rgb="FF0F2D70"/>
      <name val="Aptos"/>
      <family val="2"/>
    </font>
    <font>
      <sz val="10"/>
      <color rgb="FF000000"/>
      <name val="Aptos"/>
      <family val="2"/>
    </font>
    <font>
      <sz val="11"/>
      <color theme="4"/>
      <name val="Aptos"/>
      <family val="2"/>
    </font>
    <font>
      <b/>
      <sz val="10"/>
      <color rgb="FF000000"/>
      <name val="Aptos"/>
      <family val="2"/>
    </font>
    <font>
      <b/>
      <sz val="10"/>
      <name val="Aptos"/>
      <family val="2"/>
    </font>
    <font>
      <sz val="10"/>
      <name val="Aptos"/>
      <family val="2"/>
    </font>
    <font>
      <i/>
      <sz val="10"/>
      <name val="Aptos"/>
      <family val="2"/>
    </font>
    <font>
      <sz val="11"/>
      <color rgb="FF000000"/>
      <name val="Aptos"/>
      <family val="2"/>
    </font>
    <font>
      <b/>
      <sz val="11"/>
      <color rgb="FF000000"/>
      <name val="Aptos"/>
      <family val="2"/>
    </font>
    <font>
      <sz val="11"/>
      <color theme="0"/>
      <name val="Aptos"/>
      <family val="2"/>
    </font>
    <font>
      <i/>
      <sz val="9"/>
      <color theme="1"/>
      <name val="Aptos"/>
      <family val="2"/>
    </font>
    <font>
      <i/>
      <vertAlign val="superscript"/>
      <sz val="9"/>
      <color theme="1"/>
      <name val="Aptos"/>
      <family val="2"/>
    </font>
    <font>
      <b/>
      <sz val="24"/>
      <color rgb="FF0F2D70"/>
      <name val="Aptos"/>
      <family val="2"/>
    </font>
    <font>
      <b/>
      <sz val="15"/>
      <color rgb="FF0F2D70"/>
      <name val="Aptos"/>
      <family val="2"/>
    </font>
    <font>
      <b/>
      <sz val="16"/>
      <color rgb="FF0F2D70"/>
      <name val="Aptos"/>
      <family val="2"/>
    </font>
    <font>
      <sz val="12"/>
      <color theme="1"/>
      <name val="Aptos"/>
      <family val="2"/>
    </font>
    <font>
      <b/>
      <sz val="12"/>
      <color rgb="FF0F2D70"/>
      <name val="Aptos"/>
      <family val="2"/>
    </font>
    <font>
      <sz val="9"/>
      <color theme="1"/>
      <name val="Aptos"/>
      <family val="2"/>
    </font>
    <font>
      <b/>
      <sz val="9"/>
      <color theme="1"/>
      <name val="Aptos"/>
      <family val="2"/>
    </font>
  </fonts>
  <fills count="5">
    <fill>
      <patternFill patternType="none"/>
    </fill>
    <fill>
      <patternFill patternType="gray125"/>
    </fill>
    <fill>
      <patternFill patternType="solid">
        <fgColor theme="3" tint="0.39997558519241921"/>
        <bgColor indexed="64"/>
      </patternFill>
    </fill>
    <fill>
      <patternFill patternType="solid">
        <fgColor theme="0" tint="-0.249977111117893"/>
        <bgColor indexed="64"/>
      </patternFill>
    </fill>
    <fill>
      <patternFill patternType="solid">
        <fgColor rgb="FF0F2D70"/>
        <bgColor indexed="64"/>
      </patternFill>
    </fill>
  </fills>
  <borders count="23">
    <border>
      <left/>
      <right/>
      <top/>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bottom style="thin">
        <color indexed="64"/>
      </bottom>
      <diagonal/>
    </border>
    <border>
      <left/>
      <right/>
      <top style="thin">
        <color auto="1"/>
      </top>
      <bottom style="medium">
        <color auto="1"/>
      </bottom>
      <diagonal/>
    </border>
    <border>
      <left/>
      <right/>
      <top style="hair">
        <color auto="1"/>
      </top>
      <bottom/>
      <diagonal/>
    </border>
    <border>
      <left/>
      <right/>
      <top style="dashed">
        <color auto="1"/>
      </top>
      <bottom style="medium">
        <color auto="1"/>
      </bottom>
      <diagonal/>
    </border>
    <border>
      <left/>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top style="hair">
        <color auto="1"/>
      </top>
      <bottom/>
      <diagonal/>
    </border>
    <border>
      <left/>
      <right style="hair">
        <color auto="1"/>
      </right>
      <top style="hair">
        <color auto="1"/>
      </top>
      <bottom/>
      <diagonal/>
    </border>
    <border>
      <left style="hair">
        <color auto="1"/>
      </left>
      <right/>
      <top/>
      <bottom style="hair">
        <color auto="1"/>
      </bottom>
      <diagonal/>
    </border>
    <border>
      <left/>
      <right style="hair">
        <color auto="1"/>
      </right>
      <top/>
      <bottom style="hair">
        <color auto="1"/>
      </bottom>
      <diagonal/>
    </border>
    <border>
      <left style="hair">
        <color auto="1"/>
      </left>
      <right/>
      <top/>
      <bottom/>
      <diagonal/>
    </border>
    <border>
      <left/>
      <right style="hair">
        <color auto="1"/>
      </right>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3" fillId="0" borderId="0" applyNumberFormat="0" applyFill="0" applyBorder="0" applyAlignment="0" applyProtection="0"/>
  </cellStyleXfs>
  <cellXfs count="108">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164" fontId="4" fillId="0" borderId="0" xfId="0" applyNumberFormat="1" applyFont="1"/>
    <xf numFmtId="164" fontId="5" fillId="0" borderId="0" xfId="2" applyNumberFormat="1" applyFont="1" applyFill="1" applyBorder="1" applyAlignment="1" applyProtection="1">
      <alignment horizontal="left" wrapText="1" indent="1"/>
    </xf>
    <xf numFmtId="164" fontId="5" fillId="0" borderId="0" xfId="0" applyNumberFormat="1" applyFont="1" applyAlignment="1">
      <alignment horizontal="left" indent="1"/>
    </xf>
    <xf numFmtId="164" fontId="5" fillId="0" borderId="0" xfId="0" applyNumberFormat="1" applyFont="1"/>
    <xf numFmtId="164" fontId="4" fillId="0" borderId="0" xfId="0" applyNumberFormat="1" applyFont="1" applyAlignment="1">
      <alignment horizontal="left" indent="1"/>
    </xf>
    <xf numFmtId="164" fontId="5" fillId="0" borderId="0" xfId="0" applyNumberFormat="1" applyFont="1" applyAlignment="1">
      <alignment horizontal="left" indent="2"/>
    </xf>
    <xf numFmtId="164" fontId="5" fillId="0" borderId="0" xfId="0" applyNumberFormat="1" applyFont="1" applyAlignment="1">
      <alignment horizontal="left"/>
    </xf>
    <xf numFmtId="165" fontId="5" fillId="0" borderId="0" xfId="2" applyNumberFormat="1" applyFont="1" applyFill="1" applyBorder="1" applyAlignment="1" applyProtection="1">
      <alignment wrapText="1"/>
    </xf>
    <xf numFmtId="166" fontId="4" fillId="0" borderId="0" xfId="0" applyNumberFormat="1" applyFont="1" applyAlignment="1">
      <alignment wrapText="1"/>
    </xf>
    <xf numFmtId="164" fontId="4" fillId="0" borderId="0" xfId="2" applyNumberFormat="1" applyFont="1" applyFill="1" applyBorder="1" applyAlignment="1" applyProtection="1">
      <alignment wrapText="1"/>
    </xf>
    <xf numFmtId="164" fontId="6" fillId="0" borderId="0" xfId="3" applyNumberFormat="1" applyFont="1" applyFill="1" applyBorder="1" applyAlignment="1" applyProtection="1"/>
    <xf numFmtId="164" fontId="4" fillId="2" borderId="9" xfId="0" applyNumberFormat="1" applyFont="1" applyFill="1" applyBorder="1" applyAlignment="1">
      <alignment wrapText="1"/>
    </xf>
    <xf numFmtId="15" fontId="4" fillId="0" borderId="0" xfId="0" applyNumberFormat="1" applyFont="1" applyAlignment="1">
      <alignment horizontal="center"/>
    </xf>
    <xf numFmtId="164" fontId="4" fillId="0" borderId="0" xfId="0" applyNumberFormat="1" applyFont="1" applyAlignment="1">
      <alignment horizontal="center"/>
    </xf>
    <xf numFmtId="164" fontId="5" fillId="0" borderId="9" xfId="0" applyNumberFormat="1" applyFont="1" applyBorder="1" applyAlignment="1">
      <alignment horizontal="left"/>
    </xf>
    <xf numFmtId="164" fontId="4" fillId="0" borderId="0" xfId="0" applyNumberFormat="1" applyFont="1" applyAlignment="1">
      <alignment horizontal="left"/>
    </xf>
    <xf numFmtId="164" fontId="4" fillId="0" borderId="0" xfId="0" applyNumberFormat="1" applyFont="1" applyAlignment="1">
      <alignment vertical="center"/>
    </xf>
    <xf numFmtId="164" fontId="4" fillId="0" borderId="0" xfId="0" applyNumberFormat="1" applyFont="1" applyAlignment="1">
      <alignment wrapText="1"/>
    </xf>
    <xf numFmtId="164" fontId="5" fillId="0" borderId="0" xfId="0" applyNumberFormat="1" applyFont="1" applyAlignment="1">
      <alignment horizontal="left" wrapText="1"/>
    </xf>
    <xf numFmtId="164" fontId="7" fillId="0" borderId="0" xfId="0" applyNumberFormat="1" applyFont="1"/>
    <xf numFmtId="164" fontId="5" fillId="0" borderId="0" xfId="0" applyNumberFormat="1" applyFont="1" applyAlignment="1">
      <alignment horizontal="left" wrapText="1" indent="1"/>
    </xf>
    <xf numFmtId="164" fontId="4" fillId="0" borderId="0" xfId="0" applyNumberFormat="1" applyFont="1" applyAlignment="1">
      <alignment vertical="center" wrapText="1"/>
    </xf>
    <xf numFmtId="164" fontId="5" fillId="3" borderId="0" xfId="1" applyNumberFormat="1" applyFont="1" applyFill="1" applyBorder="1" applyProtection="1"/>
    <xf numFmtId="164" fontId="5" fillId="0" borderId="0" xfId="1" applyNumberFormat="1" applyFont="1" applyFill="1" applyBorder="1" applyProtection="1"/>
    <xf numFmtId="1" fontId="4" fillId="2" borderId="9" xfId="2" applyNumberFormat="1" applyFont="1" applyFill="1" applyBorder="1" applyAlignment="1" applyProtection="1">
      <alignment horizontal="center"/>
    </xf>
    <xf numFmtId="164" fontId="4" fillId="2" borderId="0" xfId="0" applyNumberFormat="1" applyFont="1" applyFill="1" applyAlignment="1">
      <alignment wrapText="1"/>
    </xf>
    <xf numFmtId="164" fontId="4" fillId="2" borderId="0" xfId="1" applyNumberFormat="1" applyFont="1" applyFill="1" applyBorder="1" applyAlignment="1" applyProtection="1">
      <alignment horizontal="center"/>
    </xf>
    <xf numFmtId="0" fontId="8" fillId="0" borderId="0" xfId="0" applyFont="1"/>
    <xf numFmtId="164" fontId="4" fillId="3" borderId="0" xfId="1" applyNumberFormat="1" applyFont="1" applyFill="1" applyBorder="1" applyAlignment="1" applyProtection="1"/>
    <xf numFmtId="37" fontId="8" fillId="0" borderId="0" xfId="0" applyNumberFormat="1" applyFont="1"/>
    <xf numFmtId="166" fontId="8" fillId="0" borderId="0" xfId="0" applyNumberFormat="1" applyFont="1"/>
    <xf numFmtId="15" fontId="8" fillId="0" borderId="0" xfId="0" applyNumberFormat="1" applyFont="1"/>
    <xf numFmtId="49" fontId="4" fillId="0" borderId="0" xfId="0" applyNumberFormat="1" applyFont="1"/>
    <xf numFmtId="164" fontId="0" fillId="0" borderId="0" xfId="1" applyNumberFormat="1" applyFont="1" applyFill="1" applyProtection="1"/>
    <xf numFmtId="49" fontId="5" fillId="0" borderId="0" xfId="0" applyNumberFormat="1" applyFont="1"/>
    <xf numFmtId="49" fontId="9" fillId="0" borderId="0" xfId="0" applyNumberFormat="1" applyFont="1"/>
    <xf numFmtId="165" fontId="5" fillId="0" borderId="0" xfId="2" applyNumberFormat="1" applyFont="1" applyFill="1" applyBorder="1" applyProtection="1"/>
    <xf numFmtId="0" fontId="10" fillId="0" borderId="0" xfId="0" applyFont="1" applyAlignment="1">
      <alignment horizontal="justify" vertical="center" readingOrder="1"/>
    </xf>
    <xf numFmtId="0" fontId="11" fillId="4" borderId="0" xfId="0" applyFont="1" applyFill="1"/>
    <xf numFmtId="0" fontId="0" fillId="4" borderId="0" xfId="0" applyFill="1"/>
    <xf numFmtId="0" fontId="12" fillId="0" borderId="0" xfId="0" applyFont="1"/>
    <xf numFmtId="0" fontId="13" fillId="0" borderId="10" xfId="0" applyFont="1" applyBorder="1"/>
    <xf numFmtId="0" fontId="14" fillId="0" borderId="0" xfId="0" applyFont="1" applyAlignment="1">
      <alignment horizontal="left" indent="1"/>
    </xf>
    <xf numFmtId="167" fontId="15" fillId="0" borderId="0" xfId="0" applyNumberFormat="1" applyFont="1"/>
    <xf numFmtId="0" fontId="16" fillId="0" borderId="0" xfId="0" applyFont="1" applyAlignment="1">
      <alignment horizontal="left" indent="1"/>
    </xf>
    <xf numFmtId="167" fontId="2" fillId="0" borderId="11" xfId="0" applyNumberFormat="1" applyFont="1" applyBorder="1"/>
    <xf numFmtId="167" fontId="0" fillId="0" borderId="0" xfId="0" applyNumberFormat="1"/>
    <xf numFmtId="167" fontId="2" fillId="0" borderId="12" xfId="0" applyNumberFormat="1" applyFont="1" applyBorder="1"/>
    <xf numFmtId="0" fontId="0" fillId="0" borderId="13" xfId="0" applyBorder="1"/>
    <xf numFmtId="0" fontId="17" fillId="0" borderId="0" xfId="0" applyFont="1"/>
    <xf numFmtId="0" fontId="18" fillId="0" borderId="0" xfId="0" applyFont="1" applyAlignment="1">
      <alignment horizontal="left" indent="1"/>
    </xf>
    <xf numFmtId="167" fontId="2" fillId="0" borderId="0" xfId="0" applyNumberFormat="1" applyFont="1"/>
    <xf numFmtId="0" fontId="18" fillId="0" borderId="0" xfId="0" applyFont="1" applyAlignment="1">
      <alignment horizontal="left" indent="2"/>
    </xf>
    <xf numFmtId="167" fontId="0" fillId="0" borderId="12" xfId="0" applyNumberFormat="1" applyBorder="1"/>
    <xf numFmtId="0" fontId="18" fillId="0" borderId="0" xfId="0" applyFont="1"/>
    <xf numFmtId="0" fontId="17" fillId="0" borderId="0" xfId="0" applyFont="1" applyAlignment="1">
      <alignment horizontal="left" indent="1"/>
    </xf>
    <xf numFmtId="0" fontId="19" fillId="0" borderId="0" xfId="0" applyFont="1" applyAlignment="1">
      <alignment horizontal="left" indent="1"/>
    </xf>
    <xf numFmtId="168" fontId="0" fillId="0" borderId="14" xfId="0" applyNumberFormat="1" applyBorder="1"/>
    <xf numFmtId="168" fontId="0" fillId="0" borderId="15" xfId="0" applyNumberFormat="1" applyBorder="1"/>
    <xf numFmtId="168" fontId="0" fillId="0" borderId="16" xfId="0" applyNumberFormat="1" applyBorder="1"/>
    <xf numFmtId="0" fontId="20" fillId="0" borderId="0" xfId="0" applyFont="1" applyAlignment="1">
      <alignment horizontal="left" indent="1"/>
    </xf>
    <xf numFmtId="169" fontId="15" fillId="0" borderId="0" xfId="0" applyNumberFormat="1" applyFont="1"/>
    <xf numFmtId="0" fontId="21" fillId="0" borderId="0" xfId="0" applyFont="1" applyAlignment="1">
      <alignment horizontal="left" indent="1"/>
    </xf>
    <xf numFmtId="169" fontId="2" fillId="0" borderId="11" xfId="0" applyNumberFormat="1" applyFont="1" applyBorder="1"/>
    <xf numFmtId="0" fontId="0" fillId="0" borderId="0" xfId="0" applyAlignment="1">
      <alignment horizontal="left" indent="1"/>
    </xf>
    <xf numFmtId="3" fontId="0" fillId="0" borderId="0" xfId="0" applyNumberFormat="1"/>
    <xf numFmtId="0" fontId="22" fillId="0" borderId="0" xfId="0" applyFont="1"/>
    <xf numFmtId="167" fontId="22" fillId="0" borderId="0" xfId="0" applyNumberFormat="1" applyFont="1"/>
    <xf numFmtId="0" fontId="23" fillId="0" borderId="0" xfId="0" applyFont="1" applyAlignment="1">
      <alignment horizontal="right"/>
    </xf>
    <xf numFmtId="0" fontId="0" fillId="0" borderId="0" xfId="0" applyAlignment="1">
      <alignment horizontal="center"/>
    </xf>
    <xf numFmtId="0" fontId="0" fillId="0" borderId="9" xfId="0" applyBorder="1" applyAlignment="1">
      <alignment horizontal="center"/>
    </xf>
    <xf numFmtId="170" fontId="0" fillId="0" borderId="0" xfId="0" applyNumberFormat="1"/>
    <xf numFmtId="171" fontId="0" fillId="0" borderId="0" xfId="0" applyNumberFormat="1"/>
    <xf numFmtId="0" fontId="0" fillId="0" borderId="17" xfId="0" applyBorder="1"/>
    <xf numFmtId="0" fontId="0" fillId="0" borderId="11" xfId="0" applyBorder="1" applyAlignment="1">
      <alignment horizontal="center"/>
    </xf>
    <xf numFmtId="0" fontId="2" fillId="0" borderId="11" xfId="0" applyFont="1" applyBorder="1" applyAlignment="1">
      <alignment horizontal="left" indent="1"/>
    </xf>
    <xf numFmtId="0" fontId="2" fillId="0" borderId="11" xfId="0" applyFont="1" applyBorder="1"/>
    <xf numFmtId="0" fontId="0" fillId="0" borderId="11" xfId="0" applyBorder="1"/>
    <xf numFmtId="0" fontId="0" fillId="0" borderId="18" xfId="0" applyBorder="1"/>
    <xf numFmtId="0" fontId="13" fillId="0" borderId="21" xfId="0" applyFont="1" applyBorder="1"/>
    <xf numFmtId="0" fontId="13" fillId="0" borderId="0" xfId="0" applyFont="1"/>
    <xf numFmtId="0" fontId="13" fillId="0" borderId="22" xfId="0" applyFont="1" applyBorder="1"/>
    <xf numFmtId="170" fontId="0" fillId="0" borderId="19" xfId="0" applyNumberFormat="1" applyBorder="1"/>
    <xf numFmtId="170" fontId="0" fillId="0" borderId="13" xfId="0" applyNumberFormat="1" applyBorder="1"/>
    <xf numFmtId="170" fontId="0" fillId="0" borderId="20" xfId="0" applyNumberFormat="1" applyBorder="1"/>
    <xf numFmtId="171" fontId="0" fillId="0" borderId="19" xfId="0" applyNumberFormat="1" applyBorder="1"/>
    <xf numFmtId="171" fontId="0" fillId="0" borderId="13" xfId="0" applyNumberFormat="1" applyBorder="1"/>
    <xf numFmtId="171" fontId="0" fillId="0" borderId="20" xfId="0" applyNumberFormat="1" applyBorder="1"/>
    <xf numFmtId="0" fontId="25" fillId="0" borderId="4" xfId="0" applyFont="1" applyBorder="1" applyAlignment="1">
      <alignment horizontal="left" indent="4"/>
    </xf>
    <xf numFmtId="0" fontId="26" fillId="0" borderId="0" xfId="0" applyFont="1"/>
    <xf numFmtId="0" fontId="27" fillId="0" borderId="4" xfId="0" applyFont="1" applyBorder="1" applyAlignment="1">
      <alignment horizontal="left" indent="4"/>
    </xf>
    <xf numFmtId="0" fontId="3" fillId="0" borderId="0" xfId="3"/>
    <xf numFmtId="0" fontId="28" fillId="0" borderId="0" xfId="0" applyFont="1"/>
    <xf numFmtId="0" fontId="0" fillId="0" borderId="22" xfId="0" applyBorder="1"/>
    <xf numFmtId="0" fontId="0" fillId="0" borderId="20" xfId="0" applyBorder="1"/>
    <xf numFmtId="0" fontId="29" fillId="0" borderId="17" xfId="0" applyFont="1" applyBorder="1"/>
    <xf numFmtId="0" fontId="30" fillId="0" borderId="21" xfId="0" applyFont="1" applyBorder="1"/>
    <xf numFmtId="0" fontId="31" fillId="0" borderId="19" xfId="0" applyFont="1" applyBorder="1"/>
    <xf numFmtId="0" fontId="13" fillId="0" borderId="0" xfId="0" applyFont="1" applyAlignment="1">
      <alignment horizontal="center"/>
    </xf>
  </cellXfs>
  <cellStyles count="4">
    <cellStyle name="Comma" xfId="1" builtinId="3"/>
    <cellStyle name="Currency" xfId="2" builtinId="4"/>
    <cellStyle name="Hyperlink" xfId="3" builtinId="8"/>
    <cellStyle name="Normal" xfId="0" builtinId="0"/>
  </cellStyles>
  <dxfs count="2">
    <dxf>
      <font>
        <color rgb="FF006100"/>
      </font>
      <fill>
        <patternFill>
          <bgColor rgb="FFC6EFCE"/>
        </patternFill>
      </fill>
    </dxf>
    <dxf>
      <font>
        <b/>
        <i val="0"/>
      </font>
      <fill>
        <patternFill>
          <bgColor theme="5"/>
        </patternFill>
      </fill>
    </dxf>
  </dxfs>
  <tableStyles count="0" defaultTableStyle="TableStyleMedium2" defaultPivotStyle="PivotStyleLight16"/>
  <colors>
    <mruColors>
      <color rgb="FF0F2D70"/>
      <color rgb="FF3B70E5"/>
      <color rgb="FFA3BCF3"/>
      <color rgb="FF9E3FA3"/>
      <color rgb="FF5C255F"/>
      <color rgb="FFE2BAE4"/>
      <color rgb="FF8F3993"/>
      <color rgb="FFBD62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mailto:aaravsingh.corp@outlook.com" TargetMode="External"/><Relationship Id="rId2" Type="http://schemas.openxmlformats.org/officeDocument/2006/relationships/image" Target="../media/image1.png"/><Relationship Id="rId1" Type="http://schemas.openxmlformats.org/officeDocument/2006/relationships/hyperlink" Target="https://www.linkedin.com/in/aaravsingh-corp/" TargetMode="External"/><Relationship Id="rId5" Type="http://schemas.openxmlformats.org/officeDocument/2006/relationships/image" Target="../media/image3.png"/><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7620</xdr:rowOff>
    </xdr:from>
    <xdr:to>
      <xdr:col>13</xdr:col>
      <xdr:colOff>0</xdr:colOff>
      <xdr:row>7</xdr:row>
      <xdr:rowOff>0</xdr:rowOff>
    </xdr:to>
    <xdr:sp macro="" textlink="">
      <xdr:nvSpPr>
        <xdr:cNvPr id="2" name="Rectangle 1">
          <a:extLst>
            <a:ext uri="{FF2B5EF4-FFF2-40B4-BE49-F238E27FC236}">
              <a16:creationId xmlns:a16="http://schemas.microsoft.com/office/drawing/2014/main" id="{4DD0D6A5-129B-4ECD-9899-B8799110E390}"/>
            </a:ext>
          </a:extLst>
        </xdr:cNvPr>
        <xdr:cNvSpPr/>
      </xdr:nvSpPr>
      <xdr:spPr>
        <a:xfrm>
          <a:off x="609600" y="198120"/>
          <a:ext cx="7315200" cy="1097280"/>
        </a:xfrm>
        <a:prstGeom prst="rect">
          <a:avLst/>
        </a:prstGeom>
        <a:gradFill flip="none" rotWithShape="1">
          <a:gsLst>
            <a:gs pos="0">
              <a:srgbClr val="0F2D70"/>
            </a:gs>
            <a:gs pos="100000">
              <a:srgbClr val="5C255F"/>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0</xdr:row>
      <xdr:rowOff>160020</xdr:rowOff>
    </xdr:from>
    <xdr:to>
      <xdr:col>5</xdr:col>
      <xdr:colOff>601980</xdr:colOff>
      <xdr:row>3</xdr:row>
      <xdr:rowOff>91440</xdr:rowOff>
    </xdr:to>
    <xdr:sp macro="" textlink="">
      <xdr:nvSpPr>
        <xdr:cNvPr id="3" name="TextBox 2">
          <a:extLst>
            <a:ext uri="{FF2B5EF4-FFF2-40B4-BE49-F238E27FC236}">
              <a16:creationId xmlns:a16="http://schemas.microsoft.com/office/drawing/2014/main" id="{2FB0D95E-CD3A-4C59-9DF1-AAF1BDFFE4DD}"/>
            </a:ext>
          </a:extLst>
        </xdr:cNvPr>
        <xdr:cNvSpPr txBox="1"/>
      </xdr:nvSpPr>
      <xdr:spPr>
        <a:xfrm>
          <a:off x="609600" y="160020"/>
          <a:ext cx="304038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500" b="1">
              <a:solidFill>
                <a:schemeClr val="bg1"/>
              </a:solidFill>
              <a:latin typeface="Aptos" panose="020B0004020202020204" pitchFamily="34" charset="0"/>
            </a:rPr>
            <a:t>Aarav</a:t>
          </a:r>
          <a:r>
            <a:rPr lang="en-US" sz="2500" b="1" baseline="0">
              <a:solidFill>
                <a:schemeClr val="bg1"/>
              </a:solidFill>
              <a:latin typeface="Aptos" panose="020B0004020202020204" pitchFamily="34" charset="0"/>
            </a:rPr>
            <a:t> Singh, FMVA</a:t>
          </a:r>
          <a:r>
            <a:rPr lang="en-US" sz="2800" b="1" i="0">
              <a:solidFill>
                <a:schemeClr val="bg1"/>
              </a:solidFill>
              <a:effectLst/>
              <a:latin typeface="Aptos" panose="020B0004020202020204" pitchFamily="34" charset="0"/>
            </a:rPr>
            <a:t>®</a:t>
          </a:r>
          <a:endParaRPr lang="en-US" sz="2500" b="1">
            <a:solidFill>
              <a:schemeClr val="bg1"/>
            </a:solidFill>
            <a:latin typeface="Aptos" panose="020B0004020202020204" pitchFamily="34" charset="0"/>
          </a:endParaRPr>
        </a:p>
      </xdr:txBody>
    </xdr:sp>
    <xdr:clientData/>
  </xdr:twoCellAnchor>
  <xdr:twoCellAnchor editAs="oneCell">
    <xdr:from>
      <xdr:col>1</xdr:col>
      <xdr:colOff>220980</xdr:colOff>
      <xdr:row>3</xdr:row>
      <xdr:rowOff>167640</xdr:rowOff>
    </xdr:from>
    <xdr:to>
      <xdr:col>1</xdr:col>
      <xdr:colOff>495300</xdr:colOff>
      <xdr:row>5</xdr:row>
      <xdr:rowOff>76200</xdr:rowOff>
    </xdr:to>
    <xdr:pic>
      <xdr:nvPicPr>
        <xdr:cNvPr id="4" name="Picture 3">
          <a:hlinkClick xmlns:r="http://schemas.openxmlformats.org/officeDocument/2006/relationships" r:id="rId1"/>
          <a:extLst>
            <a:ext uri="{FF2B5EF4-FFF2-40B4-BE49-F238E27FC236}">
              <a16:creationId xmlns:a16="http://schemas.microsoft.com/office/drawing/2014/main" id="{CBC1BD80-C509-4D04-8FF9-4E420F98E51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30580" y="731520"/>
          <a:ext cx="274320" cy="274320"/>
        </a:xfrm>
        <a:prstGeom prst="rect">
          <a:avLst/>
        </a:prstGeom>
      </xdr:spPr>
    </xdr:pic>
    <xdr:clientData/>
  </xdr:twoCellAnchor>
  <xdr:twoCellAnchor editAs="oneCell">
    <xdr:from>
      <xdr:col>2</xdr:col>
      <xdr:colOff>22861</xdr:colOff>
      <xdr:row>3</xdr:row>
      <xdr:rowOff>156812</xdr:rowOff>
    </xdr:from>
    <xdr:to>
      <xdr:col>2</xdr:col>
      <xdr:colOff>315808</xdr:colOff>
      <xdr:row>5</xdr:row>
      <xdr:rowOff>68580</xdr:rowOff>
    </xdr:to>
    <xdr:pic>
      <xdr:nvPicPr>
        <xdr:cNvPr id="5" name="Picture 4">
          <a:hlinkClick xmlns:r="http://schemas.openxmlformats.org/officeDocument/2006/relationships" r:id="rId3"/>
          <a:extLst>
            <a:ext uri="{FF2B5EF4-FFF2-40B4-BE49-F238E27FC236}">
              <a16:creationId xmlns:a16="http://schemas.microsoft.com/office/drawing/2014/main" id="{9A83F791-9FDD-4752-9E70-041B22B0FA2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42061" y="720692"/>
          <a:ext cx="292947" cy="277528"/>
        </a:xfrm>
        <a:prstGeom prst="rect">
          <a:avLst/>
        </a:prstGeom>
      </xdr:spPr>
    </xdr:pic>
    <xdr:clientData/>
  </xdr:twoCellAnchor>
  <xdr:twoCellAnchor editAs="oneCell">
    <xdr:from>
      <xdr:col>9</xdr:col>
      <xdr:colOff>510209</xdr:colOff>
      <xdr:row>1</xdr:row>
      <xdr:rowOff>63481</xdr:rowOff>
    </xdr:from>
    <xdr:to>
      <xdr:col>13</xdr:col>
      <xdr:colOff>0</xdr:colOff>
      <xdr:row>6</xdr:row>
      <xdr:rowOff>0</xdr:rowOff>
    </xdr:to>
    <xdr:pic>
      <xdr:nvPicPr>
        <xdr:cNvPr id="7" name="Picture 6">
          <a:extLst>
            <a:ext uri="{FF2B5EF4-FFF2-40B4-BE49-F238E27FC236}">
              <a16:creationId xmlns:a16="http://schemas.microsoft.com/office/drawing/2014/main" id="{0B081FED-B9C8-57FF-2617-5E5DC15E481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533322" y="255638"/>
          <a:ext cx="2166730" cy="870797"/>
        </a:xfrm>
        <a:prstGeom prst="rect">
          <a:avLst/>
        </a:prstGeom>
      </xdr:spPr>
    </xdr:pic>
    <xdr:clientData/>
  </xdr:twoCellAnchor>
  <xdr:twoCellAnchor>
    <xdr:from>
      <xdr:col>1</xdr:col>
      <xdr:colOff>0</xdr:colOff>
      <xdr:row>1</xdr:row>
      <xdr:rowOff>7620</xdr:rowOff>
    </xdr:from>
    <xdr:to>
      <xdr:col>13</xdr:col>
      <xdr:colOff>0</xdr:colOff>
      <xdr:row>7</xdr:row>
      <xdr:rowOff>0</xdr:rowOff>
    </xdr:to>
    <xdr:sp macro="" textlink="">
      <xdr:nvSpPr>
        <xdr:cNvPr id="6" name="Rectangle 5">
          <a:extLst>
            <a:ext uri="{FF2B5EF4-FFF2-40B4-BE49-F238E27FC236}">
              <a16:creationId xmlns:a16="http://schemas.microsoft.com/office/drawing/2014/main" id="{552106CA-F1F5-49F8-81A1-130F60839BC6}"/>
            </a:ext>
          </a:extLst>
        </xdr:cNvPr>
        <xdr:cNvSpPr/>
      </xdr:nvSpPr>
      <xdr:spPr>
        <a:xfrm>
          <a:off x="670560" y="198120"/>
          <a:ext cx="8130540" cy="1097280"/>
        </a:xfrm>
        <a:prstGeom prst="rect">
          <a:avLst/>
        </a:prstGeom>
        <a:gradFill flip="none" rotWithShape="1">
          <a:gsLst>
            <a:gs pos="0">
              <a:srgbClr val="0F2D70"/>
            </a:gs>
            <a:gs pos="100000">
              <a:srgbClr val="5C255F"/>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0</xdr:row>
      <xdr:rowOff>160020</xdr:rowOff>
    </xdr:from>
    <xdr:to>
      <xdr:col>5</xdr:col>
      <xdr:colOff>601980</xdr:colOff>
      <xdr:row>3</xdr:row>
      <xdr:rowOff>91440</xdr:rowOff>
    </xdr:to>
    <xdr:sp macro="" textlink="">
      <xdr:nvSpPr>
        <xdr:cNvPr id="8" name="TextBox 7">
          <a:extLst>
            <a:ext uri="{FF2B5EF4-FFF2-40B4-BE49-F238E27FC236}">
              <a16:creationId xmlns:a16="http://schemas.microsoft.com/office/drawing/2014/main" id="{539B24A2-18E2-4CCC-99EA-212C5B5E58C4}"/>
            </a:ext>
          </a:extLst>
        </xdr:cNvPr>
        <xdr:cNvSpPr txBox="1"/>
      </xdr:nvSpPr>
      <xdr:spPr>
        <a:xfrm>
          <a:off x="670560" y="160020"/>
          <a:ext cx="336804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500" b="1">
              <a:solidFill>
                <a:schemeClr val="bg1"/>
              </a:solidFill>
              <a:latin typeface="Aptos" panose="020B0004020202020204" pitchFamily="34" charset="0"/>
            </a:rPr>
            <a:t>Aarav</a:t>
          </a:r>
          <a:r>
            <a:rPr lang="en-US" sz="2500" b="1" baseline="0">
              <a:solidFill>
                <a:schemeClr val="bg1"/>
              </a:solidFill>
              <a:latin typeface="Aptos" panose="020B0004020202020204" pitchFamily="34" charset="0"/>
            </a:rPr>
            <a:t> Singh, FMVA</a:t>
          </a:r>
          <a:r>
            <a:rPr lang="en-US" sz="2800" b="1" i="0">
              <a:solidFill>
                <a:schemeClr val="bg1"/>
              </a:solidFill>
              <a:effectLst/>
              <a:latin typeface="Aptos" panose="020B0004020202020204" pitchFamily="34" charset="0"/>
            </a:rPr>
            <a:t>®</a:t>
          </a:r>
          <a:endParaRPr lang="en-US" sz="2500" b="1">
            <a:solidFill>
              <a:schemeClr val="bg1"/>
            </a:solidFill>
            <a:latin typeface="Aptos" panose="020B0004020202020204" pitchFamily="34" charset="0"/>
          </a:endParaRPr>
        </a:p>
      </xdr:txBody>
    </xdr:sp>
    <xdr:clientData/>
  </xdr:twoCellAnchor>
  <xdr:twoCellAnchor editAs="oneCell">
    <xdr:from>
      <xdr:col>1</xdr:col>
      <xdr:colOff>220980</xdr:colOff>
      <xdr:row>3</xdr:row>
      <xdr:rowOff>167640</xdr:rowOff>
    </xdr:from>
    <xdr:to>
      <xdr:col>1</xdr:col>
      <xdr:colOff>495300</xdr:colOff>
      <xdr:row>5</xdr:row>
      <xdr:rowOff>76200</xdr:rowOff>
    </xdr:to>
    <xdr:pic>
      <xdr:nvPicPr>
        <xdr:cNvPr id="9" name="Picture 8">
          <a:hlinkClick xmlns:r="http://schemas.openxmlformats.org/officeDocument/2006/relationships" r:id="rId1"/>
          <a:extLst>
            <a:ext uri="{FF2B5EF4-FFF2-40B4-BE49-F238E27FC236}">
              <a16:creationId xmlns:a16="http://schemas.microsoft.com/office/drawing/2014/main" id="{40321526-96EB-449C-A918-06CA3E5DC8B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91540" y="731520"/>
          <a:ext cx="274320" cy="274320"/>
        </a:xfrm>
        <a:prstGeom prst="rect">
          <a:avLst/>
        </a:prstGeom>
      </xdr:spPr>
    </xdr:pic>
    <xdr:clientData/>
  </xdr:twoCellAnchor>
  <xdr:twoCellAnchor editAs="oneCell">
    <xdr:from>
      <xdr:col>2</xdr:col>
      <xdr:colOff>22861</xdr:colOff>
      <xdr:row>3</xdr:row>
      <xdr:rowOff>156812</xdr:rowOff>
    </xdr:from>
    <xdr:to>
      <xdr:col>2</xdr:col>
      <xdr:colOff>315808</xdr:colOff>
      <xdr:row>5</xdr:row>
      <xdr:rowOff>68580</xdr:rowOff>
    </xdr:to>
    <xdr:pic>
      <xdr:nvPicPr>
        <xdr:cNvPr id="10" name="Picture 9">
          <a:hlinkClick xmlns:r="http://schemas.openxmlformats.org/officeDocument/2006/relationships" r:id="rId3"/>
          <a:extLst>
            <a:ext uri="{FF2B5EF4-FFF2-40B4-BE49-F238E27FC236}">
              <a16:creationId xmlns:a16="http://schemas.microsoft.com/office/drawing/2014/main" id="{35CBB863-6936-4086-ADE5-C6FC682FCC9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47801" y="720692"/>
          <a:ext cx="292947" cy="277528"/>
        </a:xfrm>
        <a:prstGeom prst="rect">
          <a:avLst/>
        </a:prstGeom>
      </xdr:spPr>
    </xdr:pic>
    <xdr:clientData/>
  </xdr:twoCellAnchor>
  <xdr:twoCellAnchor editAs="oneCell">
    <xdr:from>
      <xdr:col>9</xdr:col>
      <xdr:colOff>510209</xdr:colOff>
      <xdr:row>1</xdr:row>
      <xdr:rowOff>63481</xdr:rowOff>
    </xdr:from>
    <xdr:to>
      <xdr:col>13</xdr:col>
      <xdr:colOff>0</xdr:colOff>
      <xdr:row>6</xdr:row>
      <xdr:rowOff>0</xdr:rowOff>
    </xdr:to>
    <xdr:pic>
      <xdr:nvPicPr>
        <xdr:cNvPr id="11" name="Picture 10">
          <a:extLst>
            <a:ext uri="{FF2B5EF4-FFF2-40B4-BE49-F238E27FC236}">
              <a16:creationId xmlns:a16="http://schemas.microsoft.com/office/drawing/2014/main" id="{9630CD8E-BEAE-492B-84C0-704D95A904D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629069" y="253981"/>
          <a:ext cx="2172031" cy="85853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0</xdr:rowOff>
    </xdr:from>
    <xdr:to>
      <xdr:col>15</xdr:col>
      <xdr:colOff>0</xdr:colOff>
      <xdr:row>6</xdr:row>
      <xdr:rowOff>14908</xdr:rowOff>
    </xdr:to>
    <xdr:sp macro="" textlink="">
      <xdr:nvSpPr>
        <xdr:cNvPr id="3" name="Rectangle 2">
          <a:extLst>
            <a:ext uri="{FF2B5EF4-FFF2-40B4-BE49-F238E27FC236}">
              <a16:creationId xmlns:a16="http://schemas.microsoft.com/office/drawing/2014/main" id="{D1B03BF3-1D55-47C5-A691-3C9C26B4BEE5}"/>
            </a:ext>
          </a:extLst>
        </xdr:cNvPr>
        <xdr:cNvSpPr/>
      </xdr:nvSpPr>
      <xdr:spPr>
        <a:xfrm>
          <a:off x="670560" y="0"/>
          <a:ext cx="9525000" cy="1112188"/>
        </a:xfrm>
        <a:prstGeom prst="rect">
          <a:avLst/>
        </a:prstGeom>
        <a:gradFill flip="none" rotWithShape="1">
          <a:gsLst>
            <a:gs pos="0">
              <a:srgbClr val="0F2D70"/>
            </a:gs>
            <a:gs pos="100000">
              <a:srgbClr val="5C255F"/>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0</xdr:colOff>
      <xdr:row>0</xdr:row>
      <xdr:rowOff>81703</xdr:rowOff>
    </xdr:from>
    <xdr:to>
      <xdr:col>4</xdr:col>
      <xdr:colOff>155050</xdr:colOff>
      <xdr:row>5</xdr:row>
      <xdr:rowOff>38100</xdr:rowOff>
    </xdr:to>
    <xdr:pic>
      <xdr:nvPicPr>
        <xdr:cNvPr id="2" name="Picture 1">
          <a:extLst>
            <a:ext uri="{FF2B5EF4-FFF2-40B4-BE49-F238E27FC236}">
              <a16:creationId xmlns:a16="http://schemas.microsoft.com/office/drawing/2014/main" id="{72232140-9A7F-46CF-A475-EEBD66F279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0560" y="81703"/>
          <a:ext cx="2166730" cy="87079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0</xdr:row>
      <xdr:rowOff>0</xdr:rowOff>
    </xdr:from>
    <xdr:to>
      <xdr:col>17</xdr:col>
      <xdr:colOff>0</xdr:colOff>
      <xdr:row>6</xdr:row>
      <xdr:rowOff>14908</xdr:rowOff>
    </xdr:to>
    <xdr:sp macro="" textlink="">
      <xdr:nvSpPr>
        <xdr:cNvPr id="2" name="Rectangle 1">
          <a:extLst>
            <a:ext uri="{FF2B5EF4-FFF2-40B4-BE49-F238E27FC236}">
              <a16:creationId xmlns:a16="http://schemas.microsoft.com/office/drawing/2014/main" id="{907DE569-F63C-4A23-AFD5-7C0ADE5684EB}"/>
            </a:ext>
          </a:extLst>
        </xdr:cNvPr>
        <xdr:cNvSpPr/>
      </xdr:nvSpPr>
      <xdr:spPr>
        <a:xfrm>
          <a:off x="670560" y="0"/>
          <a:ext cx="11460480" cy="1112188"/>
        </a:xfrm>
        <a:prstGeom prst="rect">
          <a:avLst/>
        </a:prstGeom>
        <a:gradFill flip="none" rotWithShape="1">
          <a:gsLst>
            <a:gs pos="0">
              <a:srgbClr val="0F2D70"/>
            </a:gs>
            <a:gs pos="100000">
              <a:srgbClr val="5C255F"/>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0</xdr:colOff>
      <xdr:row>0</xdr:row>
      <xdr:rowOff>106680</xdr:rowOff>
    </xdr:from>
    <xdr:to>
      <xdr:col>4</xdr:col>
      <xdr:colOff>94090</xdr:colOff>
      <xdr:row>5</xdr:row>
      <xdr:rowOff>63077</xdr:rowOff>
    </xdr:to>
    <xdr:pic>
      <xdr:nvPicPr>
        <xdr:cNvPr id="5" name="Picture 4">
          <a:extLst>
            <a:ext uri="{FF2B5EF4-FFF2-40B4-BE49-F238E27FC236}">
              <a16:creationId xmlns:a16="http://schemas.microsoft.com/office/drawing/2014/main" id="{BE76AB49-2222-47EB-8680-1F4275AD8C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0560" y="106680"/>
          <a:ext cx="2166730" cy="87079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12</xdr:col>
      <xdr:colOff>0</xdr:colOff>
      <xdr:row>10</xdr:row>
      <xdr:rowOff>0</xdr:rowOff>
    </xdr:from>
    <xdr:to>
      <xdr:col>12</xdr:col>
      <xdr:colOff>0</xdr:colOff>
      <xdr:row>14</xdr:row>
      <xdr:rowOff>0</xdr:rowOff>
    </xdr:to>
    <xdr:cxnSp macro="">
      <xdr:nvCxnSpPr>
        <xdr:cNvPr id="9" name="Straight Arrow Connector 8">
          <a:extLst>
            <a:ext uri="{FF2B5EF4-FFF2-40B4-BE49-F238E27FC236}">
              <a16:creationId xmlns:a16="http://schemas.microsoft.com/office/drawing/2014/main" id="{CB449875-4DFF-3E80-59C0-BAA14BB0B481}"/>
            </a:ext>
          </a:extLst>
        </xdr:cNvPr>
        <xdr:cNvCxnSpPr/>
      </xdr:nvCxnSpPr>
      <xdr:spPr>
        <a:xfrm>
          <a:off x="7376160" y="914400"/>
          <a:ext cx="0" cy="731520"/>
        </a:xfrm>
        <a:prstGeom prst="straightConnector1">
          <a:avLst/>
        </a:prstGeom>
        <a:ln>
          <a:solidFill>
            <a:srgbClr val="0F2D7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11</xdr:row>
      <xdr:rowOff>91440</xdr:rowOff>
    </xdr:from>
    <xdr:to>
      <xdr:col>20</xdr:col>
      <xdr:colOff>0</xdr:colOff>
      <xdr:row>11</xdr:row>
      <xdr:rowOff>91440</xdr:rowOff>
    </xdr:to>
    <xdr:cxnSp macro="">
      <xdr:nvCxnSpPr>
        <xdr:cNvPr id="13" name="Straight Connector 12">
          <a:extLst>
            <a:ext uri="{FF2B5EF4-FFF2-40B4-BE49-F238E27FC236}">
              <a16:creationId xmlns:a16="http://schemas.microsoft.com/office/drawing/2014/main" id="{0A61803C-85C6-1CD0-78ED-D66A3C6F6553}"/>
            </a:ext>
          </a:extLst>
        </xdr:cNvPr>
        <xdr:cNvCxnSpPr/>
      </xdr:nvCxnSpPr>
      <xdr:spPr>
        <a:xfrm>
          <a:off x="2011680" y="1188720"/>
          <a:ext cx="10728960" cy="0"/>
        </a:xfrm>
        <a:prstGeom prst="line">
          <a:avLst/>
        </a:prstGeom>
        <a:ln>
          <a:solidFill>
            <a:srgbClr val="0F2D7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11</xdr:row>
      <xdr:rowOff>91440</xdr:rowOff>
    </xdr:from>
    <xdr:to>
      <xdr:col>4</xdr:col>
      <xdr:colOff>0</xdr:colOff>
      <xdr:row>14</xdr:row>
      <xdr:rowOff>0</xdr:rowOff>
    </xdr:to>
    <xdr:cxnSp macro="">
      <xdr:nvCxnSpPr>
        <xdr:cNvPr id="16" name="Straight Arrow Connector 15">
          <a:extLst>
            <a:ext uri="{FF2B5EF4-FFF2-40B4-BE49-F238E27FC236}">
              <a16:creationId xmlns:a16="http://schemas.microsoft.com/office/drawing/2014/main" id="{DFBB49E9-CDC7-CD72-E716-32B7C4C5C797}"/>
            </a:ext>
          </a:extLst>
        </xdr:cNvPr>
        <xdr:cNvCxnSpPr/>
      </xdr:nvCxnSpPr>
      <xdr:spPr>
        <a:xfrm>
          <a:off x="2011680" y="1188720"/>
          <a:ext cx="0" cy="457200"/>
        </a:xfrm>
        <a:prstGeom prst="straightConnector1">
          <a:avLst/>
        </a:prstGeom>
        <a:ln>
          <a:solidFill>
            <a:srgbClr val="0F2D7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0</xdr:colOff>
      <xdr:row>11</xdr:row>
      <xdr:rowOff>91440</xdr:rowOff>
    </xdr:from>
    <xdr:to>
      <xdr:col>20</xdr:col>
      <xdr:colOff>0</xdr:colOff>
      <xdr:row>14</xdr:row>
      <xdr:rowOff>0</xdr:rowOff>
    </xdr:to>
    <xdr:cxnSp macro="">
      <xdr:nvCxnSpPr>
        <xdr:cNvPr id="17" name="Straight Arrow Connector 16">
          <a:extLst>
            <a:ext uri="{FF2B5EF4-FFF2-40B4-BE49-F238E27FC236}">
              <a16:creationId xmlns:a16="http://schemas.microsoft.com/office/drawing/2014/main" id="{BF48E928-9008-4176-A9EB-7AC5F57B3C15}"/>
            </a:ext>
          </a:extLst>
        </xdr:cNvPr>
        <xdr:cNvCxnSpPr/>
      </xdr:nvCxnSpPr>
      <xdr:spPr>
        <a:xfrm>
          <a:off x="12740640" y="1188720"/>
          <a:ext cx="0" cy="457200"/>
        </a:xfrm>
        <a:prstGeom prst="straightConnector1">
          <a:avLst/>
        </a:prstGeom>
        <a:ln>
          <a:solidFill>
            <a:srgbClr val="0F2D7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0</xdr:row>
      <xdr:rowOff>0</xdr:rowOff>
    </xdr:from>
    <xdr:to>
      <xdr:col>23</xdr:col>
      <xdr:colOff>0</xdr:colOff>
      <xdr:row>4</xdr:row>
      <xdr:rowOff>106680</xdr:rowOff>
    </xdr:to>
    <xdr:sp macro="" textlink="">
      <xdr:nvSpPr>
        <xdr:cNvPr id="18" name="Rectangle 17">
          <a:extLst>
            <a:ext uri="{FF2B5EF4-FFF2-40B4-BE49-F238E27FC236}">
              <a16:creationId xmlns:a16="http://schemas.microsoft.com/office/drawing/2014/main" id="{09E2AFEB-C8BF-4A5C-89F7-FEC46D5FBF96}"/>
            </a:ext>
          </a:extLst>
        </xdr:cNvPr>
        <xdr:cNvSpPr/>
      </xdr:nvSpPr>
      <xdr:spPr>
        <a:xfrm>
          <a:off x="670560" y="0"/>
          <a:ext cx="14752320" cy="838200"/>
        </a:xfrm>
        <a:prstGeom prst="rect">
          <a:avLst/>
        </a:prstGeom>
        <a:gradFill flip="none" rotWithShape="1">
          <a:gsLst>
            <a:gs pos="0">
              <a:srgbClr val="0F2D70"/>
            </a:gs>
            <a:gs pos="100000">
              <a:srgbClr val="5C255F"/>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647700</xdr:colOff>
      <xdr:row>0</xdr:row>
      <xdr:rowOff>0</xdr:rowOff>
    </xdr:from>
    <xdr:to>
      <xdr:col>4</xdr:col>
      <xdr:colOff>132190</xdr:colOff>
      <xdr:row>4</xdr:row>
      <xdr:rowOff>139277</xdr:rowOff>
    </xdr:to>
    <xdr:pic>
      <xdr:nvPicPr>
        <xdr:cNvPr id="19" name="Picture 18">
          <a:extLst>
            <a:ext uri="{FF2B5EF4-FFF2-40B4-BE49-F238E27FC236}">
              <a16:creationId xmlns:a16="http://schemas.microsoft.com/office/drawing/2014/main" id="{00720E14-2351-4B54-8F27-C1275171D1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7700" y="0"/>
          <a:ext cx="2166730" cy="87079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0</xdr:row>
      <xdr:rowOff>0</xdr:rowOff>
    </xdr:from>
    <xdr:to>
      <xdr:col>23</xdr:col>
      <xdr:colOff>0</xdr:colOff>
      <xdr:row>4</xdr:row>
      <xdr:rowOff>106680</xdr:rowOff>
    </xdr:to>
    <xdr:sp macro="" textlink="">
      <xdr:nvSpPr>
        <xdr:cNvPr id="2" name="Rectangle 1">
          <a:extLst>
            <a:ext uri="{FF2B5EF4-FFF2-40B4-BE49-F238E27FC236}">
              <a16:creationId xmlns:a16="http://schemas.microsoft.com/office/drawing/2014/main" id="{F86C5690-E40A-4696-A9C1-BB0AC8CFBE43}"/>
            </a:ext>
          </a:extLst>
        </xdr:cNvPr>
        <xdr:cNvSpPr/>
      </xdr:nvSpPr>
      <xdr:spPr>
        <a:xfrm>
          <a:off x="670560" y="0"/>
          <a:ext cx="14752320" cy="838200"/>
        </a:xfrm>
        <a:prstGeom prst="rect">
          <a:avLst/>
        </a:prstGeom>
        <a:gradFill flip="none" rotWithShape="1">
          <a:gsLst>
            <a:gs pos="0">
              <a:srgbClr val="0F2D70"/>
            </a:gs>
            <a:gs pos="100000">
              <a:srgbClr val="5C255F"/>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0</xdr:colOff>
      <xdr:row>9</xdr:row>
      <xdr:rowOff>0</xdr:rowOff>
    </xdr:from>
    <xdr:to>
      <xdr:col>12</xdr:col>
      <xdr:colOff>0</xdr:colOff>
      <xdr:row>13</xdr:row>
      <xdr:rowOff>0</xdr:rowOff>
    </xdr:to>
    <xdr:cxnSp macro="">
      <xdr:nvCxnSpPr>
        <xdr:cNvPr id="15" name="Straight Arrow Connector 14">
          <a:extLst>
            <a:ext uri="{FF2B5EF4-FFF2-40B4-BE49-F238E27FC236}">
              <a16:creationId xmlns:a16="http://schemas.microsoft.com/office/drawing/2014/main" id="{5A53797D-86CE-4641-9294-1E881C12BE4A}"/>
            </a:ext>
          </a:extLst>
        </xdr:cNvPr>
        <xdr:cNvCxnSpPr/>
      </xdr:nvCxnSpPr>
      <xdr:spPr>
        <a:xfrm>
          <a:off x="8046720" y="1828800"/>
          <a:ext cx="0" cy="731520"/>
        </a:xfrm>
        <a:prstGeom prst="straightConnector1">
          <a:avLst/>
        </a:prstGeom>
        <a:ln>
          <a:solidFill>
            <a:srgbClr val="0F2D7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10</xdr:row>
      <xdr:rowOff>91440</xdr:rowOff>
    </xdr:from>
    <xdr:to>
      <xdr:col>20</xdr:col>
      <xdr:colOff>0</xdr:colOff>
      <xdr:row>10</xdr:row>
      <xdr:rowOff>91440</xdr:rowOff>
    </xdr:to>
    <xdr:cxnSp macro="">
      <xdr:nvCxnSpPr>
        <xdr:cNvPr id="16" name="Straight Connector 15">
          <a:extLst>
            <a:ext uri="{FF2B5EF4-FFF2-40B4-BE49-F238E27FC236}">
              <a16:creationId xmlns:a16="http://schemas.microsoft.com/office/drawing/2014/main" id="{1025E835-FE23-4F52-A9BB-783C3317925E}"/>
            </a:ext>
          </a:extLst>
        </xdr:cNvPr>
        <xdr:cNvCxnSpPr/>
      </xdr:nvCxnSpPr>
      <xdr:spPr>
        <a:xfrm>
          <a:off x="2682240" y="2103120"/>
          <a:ext cx="10728960" cy="0"/>
        </a:xfrm>
        <a:prstGeom prst="line">
          <a:avLst/>
        </a:prstGeom>
        <a:ln>
          <a:solidFill>
            <a:srgbClr val="0F2D7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10</xdr:row>
      <xdr:rowOff>91440</xdr:rowOff>
    </xdr:from>
    <xdr:to>
      <xdr:col>4</xdr:col>
      <xdr:colOff>0</xdr:colOff>
      <xdr:row>13</xdr:row>
      <xdr:rowOff>0</xdr:rowOff>
    </xdr:to>
    <xdr:cxnSp macro="">
      <xdr:nvCxnSpPr>
        <xdr:cNvPr id="17" name="Straight Arrow Connector 16">
          <a:extLst>
            <a:ext uri="{FF2B5EF4-FFF2-40B4-BE49-F238E27FC236}">
              <a16:creationId xmlns:a16="http://schemas.microsoft.com/office/drawing/2014/main" id="{F6E7925B-C503-4464-BC1F-1E805C6D1077}"/>
            </a:ext>
          </a:extLst>
        </xdr:cNvPr>
        <xdr:cNvCxnSpPr/>
      </xdr:nvCxnSpPr>
      <xdr:spPr>
        <a:xfrm>
          <a:off x="2682240" y="2103120"/>
          <a:ext cx="0" cy="457200"/>
        </a:xfrm>
        <a:prstGeom prst="straightConnector1">
          <a:avLst/>
        </a:prstGeom>
        <a:ln>
          <a:solidFill>
            <a:srgbClr val="0F2D7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0</xdr:colOff>
      <xdr:row>10</xdr:row>
      <xdr:rowOff>91440</xdr:rowOff>
    </xdr:from>
    <xdr:to>
      <xdr:col>20</xdr:col>
      <xdr:colOff>0</xdr:colOff>
      <xdr:row>13</xdr:row>
      <xdr:rowOff>0</xdr:rowOff>
    </xdr:to>
    <xdr:cxnSp macro="">
      <xdr:nvCxnSpPr>
        <xdr:cNvPr id="18" name="Straight Arrow Connector 17">
          <a:extLst>
            <a:ext uri="{FF2B5EF4-FFF2-40B4-BE49-F238E27FC236}">
              <a16:creationId xmlns:a16="http://schemas.microsoft.com/office/drawing/2014/main" id="{0DAAD919-EAF5-49BC-A2FB-5BAEB0FC9DE2}"/>
            </a:ext>
          </a:extLst>
        </xdr:cNvPr>
        <xdr:cNvCxnSpPr/>
      </xdr:nvCxnSpPr>
      <xdr:spPr>
        <a:xfrm>
          <a:off x="13411200" y="2103120"/>
          <a:ext cx="0" cy="457200"/>
        </a:xfrm>
        <a:prstGeom prst="straightConnector1">
          <a:avLst/>
        </a:prstGeom>
        <a:ln>
          <a:solidFill>
            <a:srgbClr val="0F2D7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15240</xdr:colOff>
      <xdr:row>0</xdr:row>
      <xdr:rowOff>0</xdr:rowOff>
    </xdr:from>
    <xdr:to>
      <xdr:col>4</xdr:col>
      <xdr:colOff>170290</xdr:colOff>
      <xdr:row>4</xdr:row>
      <xdr:rowOff>139277</xdr:rowOff>
    </xdr:to>
    <xdr:pic>
      <xdr:nvPicPr>
        <xdr:cNvPr id="19" name="Picture 18">
          <a:extLst>
            <a:ext uri="{FF2B5EF4-FFF2-40B4-BE49-F238E27FC236}">
              <a16:creationId xmlns:a16="http://schemas.microsoft.com/office/drawing/2014/main" id="{CA521A9D-F39F-4A2E-8DE1-01C06E74AF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5800" y="0"/>
          <a:ext cx="2166730" cy="870797"/>
        </a:xfrm>
        <a:prstGeom prst="rect">
          <a:avLst/>
        </a:prstGeom>
      </xdr:spPr>
    </xdr:pic>
    <xdr:clientData/>
  </xdr:twoCellAnchor>
  <xdr:twoCellAnchor>
    <xdr:from>
      <xdr:col>8</xdr:col>
      <xdr:colOff>0</xdr:colOff>
      <xdr:row>10</xdr:row>
      <xdr:rowOff>91440</xdr:rowOff>
    </xdr:from>
    <xdr:to>
      <xdr:col>8</xdr:col>
      <xdr:colOff>0</xdr:colOff>
      <xdr:row>21</xdr:row>
      <xdr:rowOff>0</xdr:rowOff>
    </xdr:to>
    <xdr:cxnSp macro="">
      <xdr:nvCxnSpPr>
        <xdr:cNvPr id="4" name="Straight Arrow Connector 3">
          <a:extLst>
            <a:ext uri="{FF2B5EF4-FFF2-40B4-BE49-F238E27FC236}">
              <a16:creationId xmlns:a16="http://schemas.microsoft.com/office/drawing/2014/main" id="{4EEFCAFE-8BA0-0275-EB65-05C7A91C39EB}"/>
            </a:ext>
          </a:extLst>
        </xdr:cNvPr>
        <xdr:cNvCxnSpPr/>
      </xdr:nvCxnSpPr>
      <xdr:spPr>
        <a:xfrm>
          <a:off x="5364480" y="1920240"/>
          <a:ext cx="0" cy="1920240"/>
        </a:xfrm>
        <a:prstGeom prst="straightConnector1">
          <a:avLst/>
        </a:prstGeom>
        <a:ln>
          <a:solidFill>
            <a:srgbClr val="0F2D7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0</xdr:colOff>
      <xdr:row>10</xdr:row>
      <xdr:rowOff>91440</xdr:rowOff>
    </xdr:from>
    <xdr:to>
      <xdr:col>16</xdr:col>
      <xdr:colOff>0</xdr:colOff>
      <xdr:row>21</xdr:row>
      <xdr:rowOff>0</xdr:rowOff>
    </xdr:to>
    <xdr:cxnSp macro="">
      <xdr:nvCxnSpPr>
        <xdr:cNvPr id="5" name="Straight Arrow Connector 4">
          <a:extLst>
            <a:ext uri="{FF2B5EF4-FFF2-40B4-BE49-F238E27FC236}">
              <a16:creationId xmlns:a16="http://schemas.microsoft.com/office/drawing/2014/main" id="{ED5DF16B-E0B6-49E6-BBDE-A8C55005E911}"/>
            </a:ext>
          </a:extLst>
        </xdr:cNvPr>
        <xdr:cNvCxnSpPr/>
      </xdr:nvCxnSpPr>
      <xdr:spPr>
        <a:xfrm>
          <a:off x="10728960" y="1920240"/>
          <a:ext cx="0" cy="1920240"/>
        </a:xfrm>
        <a:prstGeom prst="straightConnector1">
          <a:avLst/>
        </a:prstGeom>
        <a:ln>
          <a:solidFill>
            <a:srgbClr val="0F2D7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6DE0D-0103-4811-BDFD-A2D604F58C3D}">
  <dimension ref="B1:M32"/>
  <sheetViews>
    <sheetView showGridLines="0" tabSelected="1" topLeftCell="A13" zoomScale="115" zoomScaleNormal="115" workbookViewId="0">
      <selection activeCell="J13" sqref="J13"/>
    </sheetView>
  </sheetViews>
  <sheetFormatPr defaultRowHeight="14.4"/>
  <cols>
    <col min="2" max="2" width="9.8984375" customWidth="1"/>
  </cols>
  <sheetData>
    <row r="1" spans="2:13" ht="15" thickBot="1"/>
    <row r="2" spans="2:13" ht="15" thickTop="1">
      <c r="B2" s="1"/>
      <c r="C2" s="2"/>
      <c r="D2" s="2"/>
      <c r="E2" s="2"/>
      <c r="F2" s="2"/>
      <c r="G2" s="2"/>
      <c r="H2" s="2"/>
      <c r="I2" s="2"/>
      <c r="J2" s="2"/>
      <c r="K2" s="2"/>
      <c r="L2" s="2"/>
      <c r="M2" s="3"/>
    </row>
    <row r="3" spans="2:13">
      <c r="B3" s="4"/>
      <c r="M3" s="5"/>
    </row>
    <row r="4" spans="2:13">
      <c r="B4" s="4"/>
      <c r="M4" s="5"/>
    </row>
    <row r="5" spans="2:13">
      <c r="B5" s="4"/>
      <c r="M5" s="5"/>
    </row>
    <row r="6" spans="2:13">
      <c r="B6" s="4"/>
      <c r="M6" s="5"/>
    </row>
    <row r="7" spans="2:13">
      <c r="B7" s="4"/>
      <c r="M7" s="5"/>
    </row>
    <row r="8" spans="2:13">
      <c r="B8" s="4"/>
      <c r="M8" s="5"/>
    </row>
    <row r="9" spans="2:13">
      <c r="B9" s="4"/>
      <c r="M9" s="5"/>
    </row>
    <row r="10" spans="2:13">
      <c r="B10" s="4"/>
      <c r="M10" s="5"/>
    </row>
    <row r="11" spans="2:13">
      <c r="B11" s="4"/>
      <c r="M11" s="5"/>
    </row>
    <row r="12" spans="2:13" ht="31.2">
      <c r="B12" s="97" t="s">
        <v>174</v>
      </c>
      <c r="C12" s="98"/>
      <c r="M12" s="5"/>
    </row>
    <row r="13" spans="2:13">
      <c r="B13" s="4"/>
      <c r="M13" s="5"/>
    </row>
    <row r="14" spans="2:13" ht="21">
      <c r="B14" s="99" t="s">
        <v>175</v>
      </c>
      <c r="M14" s="5"/>
    </row>
    <row r="15" spans="2:13">
      <c r="B15" s="4"/>
      <c r="M15" s="5"/>
    </row>
    <row r="16" spans="2:13">
      <c r="B16" s="4"/>
      <c r="C16" s="100" t="s">
        <v>176</v>
      </c>
      <c r="M16" s="5"/>
    </row>
    <row r="17" spans="2:13" ht="15.6">
      <c r="B17" s="4"/>
      <c r="C17" s="101"/>
      <c r="M17" s="5"/>
    </row>
    <row r="18" spans="2:13">
      <c r="B18" s="4"/>
      <c r="C18" s="100" t="s">
        <v>177</v>
      </c>
      <c r="M18" s="5"/>
    </row>
    <row r="19" spans="2:13" ht="15.6">
      <c r="B19" s="4"/>
      <c r="C19" s="101"/>
      <c r="M19" s="5"/>
    </row>
    <row r="20" spans="2:13">
      <c r="B20" s="4"/>
      <c r="C20" s="100" t="s">
        <v>178</v>
      </c>
      <c r="M20" s="5"/>
    </row>
    <row r="21" spans="2:13" ht="15.6">
      <c r="B21" s="4"/>
      <c r="C21" s="101"/>
      <c r="M21" s="5"/>
    </row>
    <row r="22" spans="2:13">
      <c r="B22" s="4"/>
      <c r="C22" s="100" t="s">
        <v>179</v>
      </c>
      <c r="M22" s="5"/>
    </row>
    <row r="23" spans="2:13">
      <c r="B23" s="4"/>
      <c r="M23" s="5"/>
    </row>
    <row r="24" spans="2:13">
      <c r="B24" s="4"/>
      <c r="M24" s="5"/>
    </row>
    <row r="25" spans="2:13" ht="15.6">
      <c r="B25" s="4"/>
      <c r="C25" s="104" t="s">
        <v>180</v>
      </c>
      <c r="D25" s="86"/>
      <c r="E25" s="86"/>
      <c r="F25" s="86"/>
      <c r="G25" s="86"/>
      <c r="H25" s="86"/>
      <c r="I25" s="86"/>
      <c r="J25" s="86"/>
      <c r="K25" s="86"/>
      <c r="L25" s="87"/>
      <c r="M25" s="5"/>
    </row>
    <row r="26" spans="2:13">
      <c r="B26" s="4"/>
      <c r="C26" s="105" t="s">
        <v>184</v>
      </c>
      <c r="L26" s="102"/>
      <c r="M26" s="5"/>
    </row>
    <row r="27" spans="2:13">
      <c r="B27" s="4"/>
      <c r="C27" s="105" t="s">
        <v>183</v>
      </c>
      <c r="L27" s="102"/>
      <c r="M27" s="5"/>
    </row>
    <row r="28" spans="2:13">
      <c r="B28" s="4"/>
      <c r="C28" s="105" t="s">
        <v>181</v>
      </c>
      <c r="L28" s="102"/>
      <c r="M28" s="5"/>
    </row>
    <row r="29" spans="2:13">
      <c r="B29" s="4"/>
      <c r="C29" s="106" t="s">
        <v>182</v>
      </c>
      <c r="D29" s="57"/>
      <c r="E29" s="57"/>
      <c r="F29" s="57"/>
      <c r="G29" s="57"/>
      <c r="H29" s="57"/>
      <c r="I29" s="57"/>
      <c r="J29" s="57"/>
      <c r="K29" s="57"/>
      <c r="L29" s="103"/>
      <c r="M29" s="5"/>
    </row>
    <row r="30" spans="2:13">
      <c r="B30" s="4"/>
      <c r="M30" s="5"/>
    </row>
    <row r="31" spans="2:13" ht="15" thickBot="1">
      <c r="B31" s="6"/>
      <c r="C31" s="7"/>
      <c r="D31" s="7"/>
      <c r="E31" s="7"/>
      <c r="F31" s="7"/>
      <c r="G31" s="7"/>
      <c r="H31" s="7"/>
      <c r="I31" s="7"/>
      <c r="J31" s="7"/>
      <c r="K31" s="7"/>
      <c r="L31" s="7"/>
      <c r="M31" s="8"/>
    </row>
    <row r="32" spans="2:13" ht="15" thickTop="1"/>
  </sheetData>
  <sheetProtection algorithmName="SHA-512" hashValue="Cx8C25pO4CVvnijvyDiz6vbrDKGmdp1JtiPd10YLAduVoemWjMNNwQnsGGTJxgaM4R69+jKmkGRJLsGzbPZFBw==" saltValue="YO18Wjq8jqe0jxWbys/dPw==" spinCount="100000" sheet="1" objects="1" scenarios="1"/>
  <hyperlinks>
    <hyperlink ref="C16" location="'Financial Statements'!A1" display="Financial Statements" xr:uid="{B6E0262A-2127-44A4-8008-967D9D337A6A}"/>
    <hyperlink ref="C18" location="Ratios!A1" display="Ratios" xr:uid="{2401D678-EFD9-4E75-BD77-930DCECDD4E7}"/>
    <hyperlink ref="C20" location="'3-Step DuPont'!A1" display="3-Step DuPont" xr:uid="{3EB7115B-FA3E-4E9B-A9F0-520C09A7927B}"/>
    <hyperlink ref="C22" location="'5-Step DuPont'!A1" display="5-Step DuPont" xr:uid="{68CD5980-9CE7-48E4-A7AF-52ECA1489946}"/>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5871B-A34A-4EA4-BACB-8934E58BC11E}">
  <sheetPr>
    <pageSetUpPr fitToPage="1"/>
  </sheetPr>
  <dimension ref="B8:O125"/>
  <sheetViews>
    <sheetView showGridLines="0" zoomScaleNormal="100" workbookViewId="0">
      <selection activeCell="E129" sqref="E129"/>
    </sheetView>
  </sheetViews>
  <sheetFormatPr defaultRowHeight="14.4" outlineLevelRow="1"/>
  <cols>
    <col min="10" max="10" width="9.3984375" bestFit="1" customWidth="1"/>
    <col min="12" max="12" width="8.796875" customWidth="1"/>
    <col min="13" max="15" width="9.19921875" bestFit="1" customWidth="1"/>
  </cols>
  <sheetData>
    <row r="8" spans="2:15" ht="18">
      <c r="B8" s="47" t="s">
        <v>106</v>
      </c>
      <c r="C8" s="48"/>
      <c r="D8" s="48"/>
      <c r="E8" s="48"/>
      <c r="F8" s="48"/>
      <c r="G8" s="48"/>
      <c r="H8" s="48"/>
      <c r="I8" s="48"/>
      <c r="J8" s="48"/>
      <c r="K8" s="48"/>
      <c r="L8" s="48"/>
      <c r="M8" s="48"/>
      <c r="N8" s="48"/>
      <c r="O8" s="48"/>
    </row>
    <row r="9" spans="2:15" hidden="1" outlineLevel="1"/>
    <row r="10" spans="2:15" ht="15" hidden="1" outlineLevel="1" thickBot="1">
      <c r="B10" s="49" t="s">
        <v>107</v>
      </c>
      <c r="J10" s="50">
        <v>2019</v>
      </c>
      <c r="K10" s="50">
        <v>2020</v>
      </c>
      <c r="L10" s="50">
        <v>2021</v>
      </c>
      <c r="M10" s="50">
        <v>2022</v>
      </c>
      <c r="N10" s="50">
        <v>2023</v>
      </c>
      <c r="O10" s="50">
        <v>2024</v>
      </c>
    </row>
    <row r="11" spans="2:15" hidden="1" outlineLevel="1"/>
    <row r="12" spans="2:15" hidden="1" outlineLevel="1">
      <c r="B12" s="51" t="s">
        <v>0</v>
      </c>
      <c r="J12" s="52">
        <f>DATA!C6</f>
        <v>146463</v>
      </c>
      <c r="K12" s="52">
        <f>DATA!D6</f>
        <v>156949</v>
      </c>
      <c r="L12" s="52">
        <f>DATA!E6</f>
        <v>164177</v>
      </c>
      <c r="M12" s="52">
        <f>DATA!F6</f>
        <v>191754</v>
      </c>
      <c r="N12" s="52">
        <f>DATA!G6</f>
        <v>225458</v>
      </c>
      <c r="O12" s="52">
        <f>DATA!H6</f>
        <v>240893</v>
      </c>
    </row>
    <row r="13" spans="2:15" hidden="1" outlineLevel="1">
      <c r="B13" s="51" t="s">
        <v>108</v>
      </c>
      <c r="J13" s="52">
        <f>-SUM(DATA!C10:C12, DATA!C14:C17)</f>
        <v>-83509</v>
      </c>
      <c r="K13" s="52">
        <f>-SUM(DATA!D10:D12, DATA!D14:D17)</f>
        <v>-89635</v>
      </c>
      <c r="L13" s="52">
        <f>-SUM(DATA!E10:E12, DATA!E14:E17)</f>
        <v>-94053</v>
      </c>
      <c r="M13" s="52">
        <f>-SUM(DATA!F10:F12, DATA!F14:F17)</f>
        <v>-111053</v>
      </c>
      <c r="N13" s="52">
        <f>-SUM(DATA!G10:G12, DATA!G14:G17)</f>
        <v>-132448</v>
      </c>
      <c r="O13" s="52">
        <f>-SUM(DATA!H10:H12, DATA!H14:H17)</f>
        <v>-139775</v>
      </c>
    </row>
    <row r="14" spans="2:15" hidden="1" outlineLevel="1">
      <c r="B14" s="53" t="s">
        <v>15</v>
      </c>
      <c r="J14" s="54">
        <f>SUM(J12:J13)</f>
        <v>62954</v>
      </c>
      <c r="K14" s="54">
        <f t="shared" ref="K14:O14" si="0">SUM(K12:K13)</f>
        <v>67314</v>
      </c>
      <c r="L14" s="54">
        <f t="shared" si="0"/>
        <v>70124</v>
      </c>
      <c r="M14" s="54">
        <f t="shared" si="0"/>
        <v>80701</v>
      </c>
      <c r="N14" s="54">
        <f t="shared" si="0"/>
        <v>93010</v>
      </c>
      <c r="O14" s="54">
        <f t="shared" si="0"/>
        <v>101118</v>
      </c>
    </row>
    <row r="15" spans="2:15" hidden="1" outlineLevel="1">
      <c r="B15" s="53"/>
      <c r="J15" s="55"/>
      <c r="K15" s="55"/>
      <c r="L15" s="55"/>
      <c r="M15" s="55"/>
      <c r="N15" s="55"/>
      <c r="O15" s="55"/>
    </row>
    <row r="16" spans="2:15" hidden="1" outlineLevel="1">
      <c r="B16" s="51"/>
      <c r="J16" s="55"/>
      <c r="K16" s="55"/>
      <c r="L16" s="55"/>
      <c r="M16" s="55"/>
      <c r="N16" s="55"/>
      <c r="O16" s="55"/>
    </row>
    <row r="17" spans="2:15" hidden="1" outlineLevel="1">
      <c r="B17" s="51" t="s">
        <v>109</v>
      </c>
      <c r="J17" s="52">
        <f>-SUM(DATA!C24:C26, DATA!C28:C31)</f>
        <v>-23449</v>
      </c>
      <c r="K17" s="52">
        <f>-SUM(DATA!D24:D26, DATA!D28:D31)</f>
        <v>-25204</v>
      </c>
      <c r="L17" s="52">
        <f>-SUM(DATA!E24:E26, DATA!E28:E31)</f>
        <v>-23578</v>
      </c>
      <c r="M17" s="52">
        <f>-SUM(DATA!F24:F26, DATA!F28:F31)</f>
        <v>-27644</v>
      </c>
      <c r="N17" s="52">
        <f>-SUM(DATA!G24:G26, DATA!G28:G31)</f>
        <v>-33750</v>
      </c>
      <c r="O17" s="52">
        <f>-SUM(DATA!H24:H26, DATA!H28:H31)</f>
        <v>-36823</v>
      </c>
    </row>
    <row r="18" spans="2:15" hidden="1" outlineLevel="1">
      <c r="B18" s="53" t="s">
        <v>110</v>
      </c>
      <c r="J18" s="54">
        <f>SUM(J14,J17)</f>
        <v>39505</v>
      </c>
      <c r="K18" s="54">
        <f t="shared" ref="K18:O18" si="1">SUM(K14,K17)</f>
        <v>42110</v>
      </c>
      <c r="L18" s="54">
        <f t="shared" si="1"/>
        <v>46546</v>
      </c>
      <c r="M18" s="54">
        <f t="shared" si="1"/>
        <v>53057</v>
      </c>
      <c r="N18" s="54">
        <f t="shared" si="1"/>
        <v>59260</v>
      </c>
      <c r="O18" s="54">
        <f t="shared" si="1"/>
        <v>64295</v>
      </c>
    </row>
    <row r="19" spans="2:15" hidden="1" outlineLevel="1">
      <c r="B19" s="53"/>
      <c r="J19" s="55"/>
      <c r="K19" s="55"/>
      <c r="L19" s="55"/>
      <c r="M19" s="55"/>
      <c r="N19" s="55"/>
      <c r="O19" s="55"/>
    </row>
    <row r="20" spans="2:15" hidden="1" outlineLevel="1">
      <c r="B20" s="51"/>
      <c r="J20" s="55"/>
      <c r="K20" s="55"/>
      <c r="L20" s="55"/>
      <c r="M20" s="55"/>
      <c r="N20" s="55"/>
      <c r="O20" s="55"/>
    </row>
    <row r="21" spans="2:15" hidden="1" outlineLevel="1">
      <c r="B21" s="51" t="s">
        <v>111</v>
      </c>
      <c r="J21" s="52">
        <f>-SUM(DATA!C13,DATA!C27)</f>
        <v>-2055</v>
      </c>
      <c r="K21" s="52">
        <f>-SUM(DATA!D13,DATA!D27)</f>
        <v>-3530</v>
      </c>
      <c r="L21" s="52">
        <f>-SUM(DATA!E13,DATA!E27)</f>
        <v>-4065</v>
      </c>
      <c r="M21" s="52">
        <f>-SUM(DATA!F13,DATA!F27)</f>
        <v>-4604</v>
      </c>
      <c r="N21" s="52">
        <f>-SUM(DATA!G13,DATA!G27)</f>
        <v>-5023</v>
      </c>
      <c r="O21" s="52">
        <f>-SUM(DATA!H13,DATA!H27)</f>
        <v>-4984</v>
      </c>
    </row>
    <row r="22" spans="2:15" hidden="1" outlineLevel="1">
      <c r="B22" s="51" t="s">
        <v>144</v>
      </c>
      <c r="J22" s="52">
        <f>DATA!C36</f>
        <v>4113</v>
      </c>
      <c r="K22" s="52">
        <f>DATA!D36</f>
        <v>3668</v>
      </c>
      <c r="L22" s="52">
        <f>DATA!E36</f>
        <v>2497</v>
      </c>
      <c r="M22" s="52">
        <f>DATA!F36</f>
        <v>3234</v>
      </c>
      <c r="N22" s="52">
        <f>DATA!G36</f>
        <v>2670</v>
      </c>
      <c r="O22" s="52">
        <f>DATA!H36</f>
        <v>3727</v>
      </c>
    </row>
    <row r="23" spans="2:15" hidden="1" outlineLevel="1">
      <c r="B23" s="53" t="s">
        <v>112</v>
      </c>
      <c r="J23" s="54">
        <f>SUM(J18, J21:J22)</f>
        <v>41563</v>
      </c>
      <c r="K23" s="54">
        <f t="shared" ref="K23:O23" si="2">SUM(K18, K21:K22)</f>
        <v>42248</v>
      </c>
      <c r="L23" s="54">
        <f t="shared" si="2"/>
        <v>44978</v>
      </c>
      <c r="M23" s="54">
        <f t="shared" si="2"/>
        <v>51687</v>
      </c>
      <c r="N23" s="54">
        <f t="shared" si="2"/>
        <v>56907</v>
      </c>
      <c r="O23" s="54">
        <f t="shared" si="2"/>
        <v>63038</v>
      </c>
    </row>
    <row r="24" spans="2:15" hidden="1" outlineLevel="1">
      <c r="B24" s="53"/>
      <c r="J24" s="55"/>
      <c r="K24" s="55"/>
      <c r="L24" s="55"/>
      <c r="M24" s="55"/>
      <c r="N24" s="55"/>
      <c r="O24" s="55"/>
    </row>
    <row r="25" spans="2:15" hidden="1" outlineLevel="1">
      <c r="B25" s="53"/>
      <c r="J25" s="55"/>
      <c r="K25" s="55"/>
      <c r="L25" s="55"/>
      <c r="M25" s="55"/>
      <c r="N25" s="55"/>
      <c r="O25" s="55"/>
    </row>
    <row r="26" spans="2:15" hidden="1" outlineLevel="1">
      <c r="B26" s="51" t="s">
        <v>113</v>
      </c>
      <c r="J26" s="52">
        <f>DATA!C45</f>
        <v>-90</v>
      </c>
      <c r="K26" s="52">
        <f>DATA!D45</f>
        <v>-107</v>
      </c>
      <c r="L26" s="52">
        <f>DATA!E45</f>
        <v>-132</v>
      </c>
      <c r="M26" s="52">
        <f>DATA!F45</f>
        <v>-122</v>
      </c>
      <c r="N26" s="52">
        <f>DATA!G45</f>
        <v>-156</v>
      </c>
      <c r="O26" s="52">
        <f>DATA!H45</f>
        <v>-191</v>
      </c>
    </row>
    <row r="27" spans="2:15" hidden="1" outlineLevel="1">
      <c r="B27" s="51" t="s">
        <v>114</v>
      </c>
      <c r="J27" s="52">
        <v>0</v>
      </c>
      <c r="K27" s="52">
        <v>0</v>
      </c>
      <c r="L27" s="52">
        <v>0</v>
      </c>
      <c r="M27" s="52">
        <v>0</v>
      </c>
      <c r="N27" s="52">
        <v>0</v>
      </c>
      <c r="O27" s="52">
        <v>0</v>
      </c>
    </row>
    <row r="28" spans="2:15" hidden="1" outlineLevel="1">
      <c r="B28" s="51" t="s">
        <v>115</v>
      </c>
      <c r="J28" s="52">
        <v>0</v>
      </c>
      <c r="K28" s="52">
        <v>0</v>
      </c>
      <c r="L28" s="52">
        <v>0</v>
      </c>
      <c r="M28" s="52">
        <v>0</v>
      </c>
      <c r="N28" s="52">
        <v>0</v>
      </c>
      <c r="O28" s="52">
        <v>0</v>
      </c>
    </row>
    <row r="29" spans="2:15" hidden="1" outlineLevel="1">
      <c r="B29" s="53" t="s">
        <v>116</v>
      </c>
      <c r="J29" s="54">
        <f>SUM(J23, J26:J28)</f>
        <v>41473</v>
      </c>
      <c r="K29" s="54">
        <f t="shared" ref="K29:O29" si="3">SUM(K23, K26:K28)</f>
        <v>42141</v>
      </c>
      <c r="L29" s="54">
        <f t="shared" si="3"/>
        <v>44846</v>
      </c>
      <c r="M29" s="54">
        <f t="shared" si="3"/>
        <v>51565</v>
      </c>
      <c r="N29" s="54">
        <f t="shared" si="3"/>
        <v>56751</v>
      </c>
      <c r="O29" s="54">
        <f t="shared" si="3"/>
        <v>62847</v>
      </c>
    </row>
    <row r="30" spans="2:15" hidden="1" outlineLevel="1">
      <c r="B30" s="53"/>
      <c r="J30" s="55"/>
      <c r="K30" s="55"/>
      <c r="L30" s="55"/>
      <c r="M30" s="55"/>
      <c r="N30" s="55"/>
      <c r="O30" s="55"/>
    </row>
    <row r="31" spans="2:15" hidden="1" outlineLevel="1">
      <c r="B31" s="53"/>
      <c r="J31" s="55"/>
      <c r="K31" s="55"/>
      <c r="L31" s="55"/>
      <c r="M31" s="55"/>
      <c r="N31" s="55"/>
      <c r="O31" s="55"/>
    </row>
    <row r="32" spans="2:15" hidden="1" outlineLevel="1">
      <c r="B32" s="51" t="s">
        <v>117</v>
      </c>
      <c r="J32" s="52">
        <f>-DATA!C40</f>
        <v>-10001</v>
      </c>
      <c r="K32" s="52">
        <f>-DATA!D40</f>
        <v>-9801</v>
      </c>
      <c r="L32" s="52">
        <f>-DATA!E40</f>
        <v>-11458</v>
      </c>
      <c r="M32" s="52">
        <f>-DATA!F40</f>
        <v>-13238</v>
      </c>
      <c r="N32" s="52">
        <f>-DATA!G40</f>
        <v>-14604</v>
      </c>
      <c r="O32" s="52">
        <f>-DATA!H40</f>
        <v>-16262</v>
      </c>
    </row>
    <row r="33" spans="2:15" hidden="1" outlineLevel="1">
      <c r="B33" s="51" t="s">
        <v>118</v>
      </c>
      <c r="J33" s="54">
        <f>SUM(J32)</f>
        <v>-10001</v>
      </c>
      <c r="K33" s="54">
        <f t="shared" ref="K33:O33" si="4">SUM(K32)</f>
        <v>-9801</v>
      </c>
      <c r="L33" s="54">
        <f t="shared" si="4"/>
        <v>-11458</v>
      </c>
      <c r="M33" s="54">
        <f t="shared" si="4"/>
        <v>-13238</v>
      </c>
      <c r="N33" s="54">
        <f t="shared" si="4"/>
        <v>-14604</v>
      </c>
      <c r="O33" s="54">
        <f t="shared" si="4"/>
        <v>-16262</v>
      </c>
    </row>
    <row r="34" spans="2:15" hidden="1" outlineLevel="1">
      <c r="B34" s="51"/>
      <c r="J34" s="55"/>
      <c r="K34" s="55"/>
      <c r="L34" s="55"/>
      <c r="M34" s="55"/>
      <c r="N34" s="55"/>
      <c r="O34" s="55"/>
    </row>
    <row r="35" spans="2:15" hidden="1" outlineLevel="1">
      <c r="B35" s="51"/>
      <c r="J35" s="55"/>
      <c r="K35" s="55"/>
      <c r="L35" s="55"/>
      <c r="M35" s="55"/>
      <c r="N35" s="55"/>
      <c r="O35" s="55"/>
    </row>
    <row r="36" spans="2:15" ht="15" hidden="1" outlineLevel="1" thickBot="1">
      <c r="B36" s="53" t="s">
        <v>119</v>
      </c>
      <c r="J36" s="56">
        <f>SUM(J29, J33)</f>
        <v>31472</v>
      </c>
      <c r="K36" s="56">
        <f t="shared" ref="K36:O36" si="5">SUM(K29, K33)</f>
        <v>32340</v>
      </c>
      <c r="L36" s="56">
        <f t="shared" si="5"/>
        <v>33388</v>
      </c>
      <c r="M36" s="56">
        <f t="shared" si="5"/>
        <v>38327</v>
      </c>
      <c r="N36" s="56">
        <f t="shared" si="5"/>
        <v>42147</v>
      </c>
      <c r="O36" s="56">
        <f t="shared" si="5"/>
        <v>46585</v>
      </c>
    </row>
    <row r="37" spans="2:15" hidden="1" outlineLevel="1"/>
    <row r="38" spans="2:15" hidden="1" outlineLevel="1">
      <c r="B38" s="69" t="s">
        <v>149</v>
      </c>
      <c r="G38" s="55"/>
      <c r="J38" s="70">
        <v>375.24</v>
      </c>
      <c r="K38" s="70">
        <v>375.24</v>
      </c>
      <c r="L38" s="70">
        <v>369.91</v>
      </c>
      <c r="M38" s="70">
        <v>365.91</v>
      </c>
      <c r="N38" s="70">
        <v>365.91</v>
      </c>
      <c r="O38" s="70">
        <v>361.81</v>
      </c>
    </row>
    <row r="39" spans="2:15" hidden="1" outlineLevel="1">
      <c r="B39" s="71" t="s">
        <v>150</v>
      </c>
      <c r="J39" s="72">
        <f>J36 / J38</f>
        <v>83.871655473830074</v>
      </c>
      <c r="K39" s="72">
        <f t="shared" ref="K39:O39" si="6">K36 / K38</f>
        <v>86.184841701311157</v>
      </c>
      <c r="L39" s="72">
        <f t="shared" si="6"/>
        <v>90.259792922602784</v>
      </c>
      <c r="M39" s="72">
        <f t="shared" si="6"/>
        <v>104.74433603891667</v>
      </c>
      <c r="N39" s="72">
        <f t="shared" si="6"/>
        <v>115.1840616545052</v>
      </c>
      <c r="O39" s="72">
        <f t="shared" si="6"/>
        <v>128.75542411763081</v>
      </c>
    </row>
    <row r="40" spans="2:15" hidden="1" outlineLevel="1"/>
    <row r="41" spans="2:15" hidden="1" outlineLevel="1">
      <c r="B41" s="73" t="s">
        <v>129</v>
      </c>
      <c r="J41" s="74">
        <f t="shared" ref="J41:O41" si="7">I115 + J36 - J115</f>
        <v>27111</v>
      </c>
      <c r="K41">
        <f t="shared" si="7"/>
        <v>39023</v>
      </c>
      <c r="L41">
        <f t="shared" si="7"/>
        <v>32575</v>
      </c>
      <c r="M41">
        <f t="shared" si="7"/>
        <v>40023</v>
      </c>
      <c r="N41">
        <f t="shared" si="7"/>
        <v>45602</v>
      </c>
      <c r="O41">
        <f t="shared" si="7"/>
        <v>51253</v>
      </c>
    </row>
    <row r="42" spans="2:15" hidden="1" outlineLevel="1">
      <c r="B42" s="57"/>
      <c r="C42" s="57"/>
      <c r="D42" s="57"/>
      <c r="E42" s="57"/>
      <c r="F42" s="57"/>
      <c r="G42" s="57"/>
      <c r="H42" s="57"/>
      <c r="I42" s="57"/>
      <c r="J42" s="57"/>
      <c r="K42" s="57"/>
      <c r="L42" s="57"/>
      <c r="M42" s="57"/>
      <c r="N42" s="57"/>
      <c r="O42" s="57"/>
    </row>
    <row r="43" spans="2:15" collapsed="1"/>
    <row r="44" spans="2:15" ht="18">
      <c r="B44" s="47" t="s">
        <v>120</v>
      </c>
      <c r="C44" s="48"/>
      <c r="D44" s="48"/>
      <c r="E44" s="48"/>
      <c r="F44" s="48"/>
      <c r="G44" s="48"/>
      <c r="H44" s="48"/>
      <c r="I44" s="48"/>
      <c r="J44" s="48"/>
      <c r="K44" s="48"/>
      <c r="L44" s="48"/>
      <c r="M44" s="48"/>
      <c r="N44" s="48"/>
      <c r="O44" s="48"/>
    </row>
    <row r="45" spans="2:15" hidden="1" outlineLevel="1"/>
    <row r="46" spans="2:15" ht="15" hidden="1" outlineLevel="1" thickBot="1">
      <c r="B46" s="49" t="s">
        <v>107</v>
      </c>
      <c r="J46" s="50">
        <v>2019</v>
      </c>
      <c r="K46" s="50">
        <v>2020</v>
      </c>
      <c r="L46" s="50">
        <v>2021</v>
      </c>
      <c r="M46" s="50">
        <v>2022</v>
      </c>
      <c r="N46" s="50">
        <v>2023</v>
      </c>
      <c r="O46" s="50">
        <v>2024</v>
      </c>
    </row>
    <row r="47" spans="2:15" hidden="1" outlineLevel="1"/>
    <row r="48" spans="2:15" hidden="1" outlineLevel="1">
      <c r="B48" s="58" t="s">
        <v>121</v>
      </c>
    </row>
    <row r="49" spans="2:15" hidden="1" outlineLevel="1">
      <c r="B49" s="59" t="s">
        <v>119</v>
      </c>
      <c r="J49" s="60">
        <f>J36</f>
        <v>31472</v>
      </c>
      <c r="K49" s="60">
        <f t="shared" ref="K49:O49" si="8">K36</f>
        <v>32340</v>
      </c>
      <c r="L49" s="60">
        <f t="shared" si="8"/>
        <v>33388</v>
      </c>
      <c r="M49" s="60">
        <f t="shared" si="8"/>
        <v>38327</v>
      </c>
      <c r="N49" s="60">
        <f t="shared" si="8"/>
        <v>42147</v>
      </c>
      <c r="O49" s="60">
        <f t="shared" si="8"/>
        <v>46585</v>
      </c>
    </row>
    <row r="50" spans="2:15" hidden="1" outlineLevel="1">
      <c r="B50" s="59" t="s">
        <v>9</v>
      </c>
      <c r="J50" s="55">
        <f>-J21</f>
        <v>2055</v>
      </c>
      <c r="K50" s="55">
        <f t="shared" ref="K50:O50" si="9">-K21</f>
        <v>3530</v>
      </c>
      <c r="L50" s="55">
        <f t="shared" si="9"/>
        <v>4065</v>
      </c>
      <c r="M50" s="55">
        <f t="shared" si="9"/>
        <v>4604</v>
      </c>
      <c r="N50" s="55">
        <f t="shared" si="9"/>
        <v>5023</v>
      </c>
      <c r="O50" s="55">
        <f t="shared" si="9"/>
        <v>4984</v>
      </c>
    </row>
    <row r="51" spans="2:15" hidden="1" outlineLevel="1">
      <c r="B51" s="61" t="s">
        <v>122</v>
      </c>
      <c r="J51" s="55">
        <f>I89 - J89</f>
        <v>-874</v>
      </c>
      <c r="K51" s="55">
        <f t="shared" ref="K51:O51" si="10">J89 - K89</f>
        <v>-3761</v>
      </c>
      <c r="L51" s="55">
        <f t="shared" si="10"/>
        <v>-398</v>
      </c>
      <c r="M51" s="55">
        <f t="shared" si="10"/>
        <v>-5148</v>
      </c>
      <c r="N51" s="55">
        <f t="shared" si="10"/>
        <v>-8144</v>
      </c>
      <c r="O51" s="55">
        <f t="shared" si="10"/>
        <v>-3623</v>
      </c>
    </row>
    <row r="52" spans="2:15" hidden="1" outlineLevel="1">
      <c r="B52" s="61" t="s">
        <v>156</v>
      </c>
      <c r="J52" s="55">
        <f>I90 - J90</f>
        <v>-7692</v>
      </c>
      <c r="K52" s="55">
        <f t="shared" ref="K52:O52" si="11">J90 - K90</f>
        <v>7077</v>
      </c>
      <c r="L52" s="55">
        <f t="shared" si="11"/>
        <v>-10433</v>
      </c>
      <c r="M52" s="55">
        <f t="shared" si="11"/>
        <v>1748</v>
      </c>
      <c r="N52" s="55">
        <f t="shared" si="11"/>
        <v>819</v>
      </c>
      <c r="O52" s="55">
        <f t="shared" si="11"/>
        <v>2802</v>
      </c>
    </row>
    <row r="53" spans="2:15" hidden="1" outlineLevel="1">
      <c r="B53" s="61" t="s">
        <v>123</v>
      </c>
      <c r="J53" s="55">
        <f>J102 - I102</f>
        <v>1198</v>
      </c>
      <c r="K53" s="55">
        <f t="shared" ref="K53:O53" si="12">K102 - J102</f>
        <v>448</v>
      </c>
      <c r="L53" s="55">
        <f t="shared" si="12"/>
        <v>1120</v>
      </c>
      <c r="M53" s="55">
        <f t="shared" si="12"/>
        <v>185</v>
      </c>
      <c r="N53" s="55">
        <f t="shared" si="12"/>
        <v>2470</v>
      </c>
      <c r="O53" s="55">
        <f t="shared" si="12"/>
        <v>-534</v>
      </c>
    </row>
    <row r="54" spans="2:15" hidden="1" outlineLevel="1">
      <c r="B54" s="61" t="s">
        <v>152</v>
      </c>
      <c r="J54" s="55">
        <f>J103 - I103</f>
        <v>3058</v>
      </c>
      <c r="K54" s="55">
        <f t="shared" ref="K54:O54" si="13">K103 - J103</f>
        <v>4528</v>
      </c>
      <c r="L54" s="55">
        <f t="shared" si="13"/>
        <v>5975</v>
      </c>
      <c r="M54" s="55">
        <f t="shared" si="13"/>
        <v>8011</v>
      </c>
      <c r="N54" s="55">
        <f t="shared" si="13"/>
        <v>-1263</v>
      </c>
      <c r="O54" s="55">
        <f t="shared" si="13"/>
        <v>3080</v>
      </c>
    </row>
    <row r="55" spans="2:15" hidden="1" outlineLevel="1">
      <c r="B55" s="61" t="s">
        <v>160</v>
      </c>
      <c r="J55" s="52">
        <v>-2212</v>
      </c>
      <c r="K55" s="52">
        <v>4137</v>
      </c>
      <c r="L55" s="52">
        <v>-2100</v>
      </c>
      <c r="M55" s="52">
        <v>-347</v>
      </c>
      <c r="N55" s="52">
        <v>-640</v>
      </c>
      <c r="O55" s="52">
        <v>-55</v>
      </c>
    </row>
    <row r="56" spans="2:15" ht="15" hidden="1" outlineLevel="1" thickBot="1">
      <c r="B56" s="59" t="s">
        <v>124</v>
      </c>
      <c r="J56" s="62">
        <f>SUM(J49:J55)</f>
        <v>27005</v>
      </c>
      <c r="K56" s="62">
        <f t="shared" ref="K56:O56" si="14">SUM(K49:K55)</f>
        <v>48299</v>
      </c>
      <c r="L56" s="62">
        <f t="shared" si="14"/>
        <v>31617</v>
      </c>
      <c r="M56" s="62">
        <f t="shared" si="14"/>
        <v>47380</v>
      </c>
      <c r="N56" s="62">
        <f t="shared" si="14"/>
        <v>40412</v>
      </c>
      <c r="O56" s="62">
        <f t="shared" si="14"/>
        <v>53239</v>
      </c>
    </row>
    <row r="57" spans="2:15" hidden="1" outlineLevel="1">
      <c r="B57" s="63" t="s">
        <v>125</v>
      </c>
      <c r="J57" s="55"/>
      <c r="K57" s="55"/>
      <c r="L57" s="55"/>
      <c r="M57" s="55"/>
      <c r="N57" s="55"/>
      <c r="O57" s="55"/>
    </row>
    <row r="58" spans="2:15" hidden="1" outlineLevel="1">
      <c r="B58" s="63"/>
      <c r="J58" s="55"/>
      <c r="K58" s="55"/>
      <c r="L58" s="55"/>
      <c r="M58" s="55"/>
      <c r="N58" s="55"/>
      <c r="O58" s="55"/>
    </row>
    <row r="59" spans="2:15" hidden="1" outlineLevel="1">
      <c r="B59" s="58" t="s">
        <v>126</v>
      </c>
      <c r="J59" s="55"/>
      <c r="K59" s="55"/>
      <c r="L59" s="55"/>
      <c r="M59" s="55"/>
      <c r="N59" s="55"/>
      <c r="O59" s="55"/>
    </row>
    <row r="60" spans="2:15" hidden="1" outlineLevel="1">
      <c r="B60" s="59" t="s">
        <v>127</v>
      </c>
      <c r="J60" s="55">
        <f>I93 - J93</f>
        <v>-50</v>
      </c>
      <c r="K60" s="55">
        <f t="shared" ref="K60:O60" si="15">J93 - K93</f>
        <v>-288</v>
      </c>
      <c r="L60" s="55">
        <f t="shared" si="15"/>
        <v>-197</v>
      </c>
      <c r="M60" s="55">
        <f t="shared" si="15"/>
        <v>55</v>
      </c>
      <c r="N60" s="55">
        <f t="shared" si="15"/>
        <v>485</v>
      </c>
      <c r="O60" s="55">
        <f t="shared" si="15"/>
        <v>371</v>
      </c>
    </row>
    <row r="61" spans="2:15" hidden="1" outlineLevel="1">
      <c r="B61" s="59" t="s">
        <v>157</v>
      </c>
      <c r="J61" s="55">
        <f>I94-J94</f>
        <v>2313</v>
      </c>
      <c r="K61" s="55">
        <f t="shared" ref="K61:O61" si="16">J94-K94</f>
        <v>-7566</v>
      </c>
      <c r="L61" s="55">
        <f t="shared" si="16"/>
        <v>-628</v>
      </c>
      <c r="M61" s="55">
        <f t="shared" si="16"/>
        <v>-1778</v>
      </c>
      <c r="N61" s="55">
        <f t="shared" si="16"/>
        <v>-660</v>
      </c>
      <c r="O61" s="55">
        <f t="shared" si="16"/>
        <v>-460</v>
      </c>
    </row>
    <row r="62" spans="2:15" ht="15" hidden="1" outlineLevel="1" thickBot="1">
      <c r="B62" s="59" t="s">
        <v>124</v>
      </c>
      <c r="J62" s="62">
        <f t="shared" ref="J62:O62" si="17">SUM(J60:J61)</f>
        <v>2263</v>
      </c>
      <c r="K62" s="62">
        <f t="shared" si="17"/>
        <v>-7854</v>
      </c>
      <c r="L62" s="62">
        <f t="shared" si="17"/>
        <v>-825</v>
      </c>
      <c r="M62" s="62">
        <f t="shared" si="17"/>
        <v>-1723</v>
      </c>
      <c r="N62" s="62">
        <f t="shared" si="17"/>
        <v>-175</v>
      </c>
      <c r="O62" s="62">
        <f t="shared" si="17"/>
        <v>-89</v>
      </c>
    </row>
    <row r="63" spans="2:15" hidden="1" outlineLevel="1">
      <c r="B63" s="63" t="s">
        <v>125</v>
      </c>
      <c r="J63" s="55"/>
      <c r="K63" s="55"/>
      <c r="L63" s="55"/>
      <c r="M63" s="55"/>
      <c r="N63" s="55"/>
      <c r="O63" s="55"/>
    </row>
    <row r="64" spans="2:15" hidden="1" outlineLevel="1">
      <c r="B64" s="63"/>
      <c r="J64" s="55"/>
      <c r="K64" s="55"/>
      <c r="L64" s="55"/>
      <c r="M64" s="55"/>
      <c r="N64" s="55"/>
      <c r="O64" s="55"/>
    </row>
    <row r="65" spans="2:15" hidden="1" outlineLevel="1">
      <c r="B65" s="58" t="s">
        <v>128</v>
      </c>
      <c r="J65" s="55"/>
      <c r="K65" s="55"/>
      <c r="L65" s="55"/>
      <c r="M65" s="55"/>
      <c r="N65" s="55"/>
      <c r="O65" s="55"/>
    </row>
    <row r="66" spans="2:15" hidden="1" outlineLevel="1">
      <c r="B66" s="59" t="s">
        <v>129</v>
      </c>
      <c r="J66" s="55">
        <f t="shared" ref="J66:O66" si="18">-J41</f>
        <v>-27111</v>
      </c>
      <c r="K66" s="55">
        <f t="shared" si="18"/>
        <v>-39023</v>
      </c>
      <c r="L66" s="55">
        <f t="shared" si="18"/>
        <v>-32575</v>
      </c>
      <c r="M66" s="55">
        <f t="shared" si="18"/>
        <v>-40023</v>
      </c>
      <c r="N66" s="55">
        <f t="shared" si="18"/>
        <v>-45602</v>
      </c>
      <c r="O66" s="55">
        <f t="shared" si="18"/>
        <v>-51253</v>
      </c>
    </row>
    <row r="67" spans="2:15" hidden="1" outlineLevel="1">
      <c r="B67" s="59" t="s">
        <v>158</v>
      </c>
      <c r="J67" s="55">
        <f>J112 - I112</f>
        <v>184</v>
      </c>
      <c r="K67" s="55">
        <f t="shared" ref="K67:O67" si="19">K112 - J112</f>
        <v>0</v>
      </c>
      <c r="L67" s="55">
        <f t="shared" si="19"/>
        <v>-5</v>
      </c>
      <c r="M67" s="55">
        <f t="shared" si="19"/>
        <v>-4</v>
      </c>
      <c r="N67" s="55">
        <f t="shared" si="19"/>
        <v>0</v>
      </c>
      <c r="O67" s="55">
        <f t="shared" si="19"/>
        <v>-4</v>
      </c>
    </row>
    <row r="68" spans="2:15" hidden="1" outlineLevel="1">
      <c r="B68" s="59" t="s">
        <v>159</v>
      </c>
      <c r="J68" s="55">
        <f>J113 - I113</f>
        <v>0</v>
      </c>
      <c r="K68" s="55">
        <f t="shared" ref="K68:O68" si="20">K113 - J113</f>
        <v>0</v>
      </c>
      <c r="L68" s="55">
        <f t="shared" si="20"/>
        <v>0</v>
      </c>
      <c r="M68" s="55">
        <f t="shared" si="20"/>
        <v>0</v>
      </c>
      <c r="N68" s="55">
        <f t="shared" si="20"/>
        <v>0</v>
      </c>
      <c r="O68" s="55">
        <f t="shared" si="20"/>
        <v>0</v>
      </c>
    </row>
    <row r="69" spans="2:15" ht="15" hidden="1" outlineLevel="1" thickBot="1">
      <c r="B69" s="59" t="s">
        <v>124</v>
      </c>
      <c r="J69" s="62">
        <f t="shared" ref="J69:O69" si="21">SUM(J66:J68)</f>
        <v>-26927</v>
      </c>
      <c r="K69" s="62">
        <f t="shared" si="21"/>
        <v>-39023</v>
      </c>
      <c r="L69" s="62">
        <f t="shared" si="21"/>
        <v>-32580</v>
      </c>
      <c r="M69" s="62">
        <f t="shared" si="21"/>
        <v>-40027</v>
      </c>
      <c r="N69" s="62">
        <f t="shared" si="21"/>
        <v>-45602</v>
      </c>
      <c r="O69" s="62">
        <f t="shared" si="21"/>
        <v>-51257</v>
      </c>
    </row>
    <row r="70" spans="2:15" hidden="1" outlineLevel="1">
      <c r="B70" s="63" t="s">
        <v>125</v>
      </c>
      <c r="J70" s="55"/>
      <c r="K70" s="55"/>
      <c r="L70" s="55"/>
      <c r="M70" s="55"/>
      <c r="N70" s="55"/>
      <c r="O70" s="55"/>
    </row>
    <row r="71" spans="2:15" hidden="1" outlineLevel="1">
      <c r="B71" s="63"/>
      <c r="J71" s="55"/>
      <c r="K71" s="55"/>
      <c r="L71" s="55"/>
      <c r="M71" s="55"/>
      <c r="N71" s="55"/>
      <c r="O71" s="55"/>
    </row>
    <row r="72" spans="2:15" hidden="1" outlineLevel="1">
      <c r="B72" s="58" t="s">
        <v>130</v>
      </c>
      <c r="J72" s="55"/>
      <c r="K72" s="55"/>
      <c r="L72" s="55"/>
      <c r="M72" s="55"/>
      <c r="N72" s="55"/>
      <c r="O72" s="55"/>
    </row>
    <row r="73" spans="2:15" hidden="1" outlineLevel="1">
      <c r="B73" s="59" t="s">
        <v>131</v>
      </c>
      <c r="J73" s="55">
        <f>DATA!B73</f>
        <v>4883</v>
      </c>
      <c r="K73" s="55">
        <f>J75</f>
        <v>7224</v>
      </c>
      <c r="L73" s="55">
        <f t="shared" ref="L73:O73" si="22">K75</f>
        <v>8646</v>
      </c>
      <c r="M73" s="55">
        <f t="shared" si="22"/>
        <v>6858</v>
      </c>
      <c r="N73" s="55">
        <f t="shared" si="22"/>
        <v>12488</v>
      </c>
      <c r="O73" s="55">
        <f t="shared" si="22"/>
        <v>7123</v>
      </c>
    </row>
    <row r="74" spans="2:15" hidden="1" outlineLevel="1">
      <c r="B74" s="59" t="s">
        <v>132</v>
      </c>
      <c r="J74" s="55">
        <f t="shared" ref="J74:O74" si="23">SUM(J56,J62,J69)</f>
        <v>2341</v>
      </c>
      <c r="K74" s="55">
        <f t="shared" si="23"/>
        <v>1422</v>
      </c>
      <c r="L74" s="55">
        <f t="shared" si="23"/>
        <v>-1788</v>
      </c>
      <c r="M74" s="55">
        <f t="shared" si="23"/>
        <v>5630</v>
      </c>
      <c r="N74" s="55">
        <f t="shared" si="23"/>
        <v>-5365</v>
      </c>
      <c r="O74" s="55">
        <f t="shared" si="23"/>
        <v>1893</v>
      </c>
    </row>
    <row r="75" spans="2:15" ht="15" hidden="1" outlineLevel="1" thickBot="1">
      <c r="B75" s="59" t="s">
        <v>133</v>
      </c>
      <c r="J75" s="62">
        <f>SUM(J73:J74)</f>
        <v>7224</v>
      </c>
      <c r="K75" s="62">
        <f t="shared" ref="K75" si="24">SUM(K73:K74)</f>
        <v>8646</v>
      </c>
      <c r="L75" s="62">
        <f t="shared" ref="L75" si="25">SUM(L73:L74)</f>
        <v>6858</v>
      </c>
      <c r="M75" s="62">
        <f t="shared" ref="M75" si="26">SUM(M73:M74)</f>
        <v>12488</v>
      </c>
      <c r="N75" s="62">
        <f t="shared" ref="N75" si="27">SUM(N73:N74)</f>
        <v>7123</v>
      </c>
      <c r="O75" s="62">
        <f t="shared" ref="O75" si="28">SUM(O73:O74)</f>
        <v>9016</v>
      </c>
    </row>
    <row r="76" spans="2:15" hidden="1" outlineLevel="1"/>
    <row r="77" spans="2:15" hidden="1" outlineLevel="1">
      <c r="O77" s="77" t="s">
        <v>161</v>
      </c>
    </row>
    <row r="78" spans="2:15" hidden="1" outlineLevel="1">
      <c r="O78" s="77" t="s">
        <v>162</v>
      </c>
    </row>
    <row r="79" spans="2:15" hidden="1" outlineLevel="1">
      <c r="B79" s="57"/>
      <c r="C79" s="57"/>
      <c r="D79" s="57"/>
      <c r="E79" s="57"/>
      <c r="F79" s="57"/>
      <c r="G79" s="57"/>
      <c r="H79" s="57"/>
      <c r="I79" s="57"/>
      <c r="J79" s="57"/>
      <c r="K79" s="57"/>
      <c r="L79" s="57"/>
      <c r="M79" s="57"/>
      <c r="N79" s="57"/>
      <c r="O79" s="57"/>
    </row>
    <row r="80" spans="2:15" collapsed="1"/>
    <row r="81" spans="2:15" ht="18">
      <c r="B81" s="47" t="s">
        <v>134</v>
      </c>
      <c r="C81" s="48"/>
      <c r="D81" s="48"/>
      <c r="E81" s="48"/>
      <c r="F81" s="48"/>
      <c r="G81" s="48"/>
      <c r="H81" s="48"/>
      <c r="I81" s="48"/>
      <c r="J81" s="48"/>
      <c r="K81" s="48"/>
      <c r="L81" s="48"/>
      <c r="M81" s="48"/>
      <c r="N81" s="48"/>
      <c r="O81" s="48"/>
    </row>
    <row r="83" spans="2:15" ht="15" hidden="1" outlineLevel="1" thickBot="1">
      <c r="B83" s="49" t="s">
        <v>107</v>
      </c>
      <c r="I83" s="75">
        <v>2018</v>
      </c>
      <c r="J83" s="50">
        <v>2019</v>
      </c>
      <c r="K83" s="50">
        <v>2020</v>
      </c>
      <c r="L83" s="50">
        <v>2021</v>
      </c>
      <c r="M83" s="50">
        <v>2022</v>
      </c>
      <c r="N83" s="50">
        <v>2023</v>
      </c>
      <c r="O83" s="50">
        <v>2024</v>
      </c>
    </row>
    <row r="84" spans="2:15" hidden="1" outlineLevel="1">
      <c r="I84" s="75"/>
    </row>
    <row r="85" spans="2:15" hidden="1" outlineLevel="1">
      <c r="B85" s="58" t="s">
        <v>35</v>
      </c>
      <c r="I85" s="75"/>
    </row>
    <row r="86" spans="2:15" hidden="1" outlineLevel="1">
      <c r="B86" s="58"/>
      <c r="I86" s="75"/>
    </row>
    <row r="87" spans="2:15" hidden="1" outlineLevel="1">
      <c r="B87" s="58"/>
      <c r="I87" s="75"/>
    </row>
    <row r="88" spans="2:15" hidden="1" outlineLevel="1">
      <c r="B88" s="59" t="s">
        <v>135</v>
      </c>
      <c r="I88" s="76">
        <v>4883</v>
      </c>
      <c r="J88" s="55">
        <f>J75</f>
        <v>7224</v>
      </c>
      <c r="K88" s="55">
        <f t="shared" ref="K88:O88" si="29">K75</f>
        <v>8646</v>
      </c>
      <c r="L88" s="55">
        <f t="shared" si="29"/>
        <v>6858</v>
      </c>
      <c r="M88" s="55">
        <f t="shared" si="29"/>
        <v>12488</v>
      </c>
      <c r="N88" s="55">
        <f t="shared" si="29"/>
        <v>7123</v>
      </c>
      <c r="O88" s="55">
        <f t="shared" si="29"/>
        <v>9016</v>
      </c>
    </row>
    <row r="89" spans="2:15" hidden="1" outlineLevel="1">
      <c r="B89" s="59" t="s">
        <v>136</v>
      </c>
      <c r="I89" s="75">
        <v>31629</v>
      </c>
      <c r="J89" s="52">
        <f>DATA!C75 + DATA!C78</f>
        <v>32503</v>
      </c>
      <c r="K89" s="52">
        <f>DATA!D75 + DATA!D78</f>
        <v>36264</v>
      </c>
      <c r="L89" s="52">
        <f>DATA!E75 + DATA!E78</f>
        <v>36662</v>
      </c>
      <c r="M89" s="52">
        <f>DATA!F75 + DATA!F78</f>
        <v>41810</v>
      </c>
      <c r="N89" s="52">
        <f>DATA!G75 + DATA!G78</f>
        <v>49954</v>
      </c>
      <c r="O89" s="52">
        <f>DATA!H75 + DATA!H78</f>
        <v>53577</v>
      </c>
    </row>
    <row r="90" spans="2:15" hidden="1" outlineLevel="1">
      <c r="B90" s="59" t="s">
        <v>44</v>
      </c>
      <c r="I90" s="75">
        <v>44712</v>
      </c>
      <c r="J90" s="52">
        <f>DATA!C81 - SUM(DATA!C73,DATA!C75,DATA!C78)</f>
        <v>52404</v>
      </c>
      <c r="K90" s="52">
        <f>DATA!D81 - SUM(DATA!D73,DATA!D75,DATA!D78)</f>
        <v>45327</v>
      </c>
      <c r="L90" s="52">
        <f>DATA!E81 - SUM(DATA!E73,DATA!E75,DATA!E78)</f>
        <v>55760</v>
      </c>
      <c r="M90" s="52">
        <f>DATA!F81 - SUM(DATA!F73,DATA!F75,DATA!F78)</f>
        <v>54012</v>
      </c>
      <c r="N90" s="52">
        <f>DATA!G81 - SUM(DATA!G73,DATA!G75,DATA!G78)</f>
        <v>53193</v>
      </c>
      <c r="O90" s="52">
        <f>DATA!H81 - SUM(DATA!H73,DATA!H75,DATA!H78)</f>
        <v>50391</v>
      </c>
    </row>
    <row r="91" spans="2:15" hidden="1" outlineLevel="1">
      <c r="B91" s="59" t="s">
        <v>45</v>
      </c>
      <c r="I91" s="75">
        <v>81224</v>
      </c>
      <c r="J91" s="54">
        <f t="shared" ref="J91:O91" si="30">SUM(J88:J90)</f>
        <v>92131</v>
      </c>
      <c r="K91" s="54">
        <f t="shared" si="30"/>
        <v>90237</v>
      </c>
      <c r="L91" s="54">
        <f t="shared" si="30"/>
        <v>99280</v>
      </c>
      <c r="M91" s="54">
        <f t="shared" si="30"/>
        <v>108310</v>
      </c>
      <c r="N91" s="54">
        <f t="shared" si="30"/>
        <v>110270</v>
      </c>
      <c r="O91" s="54">
        <f t="shared" si="30"/>
        <v>112984</v>
      </c>
    </row>
    <row r="92" spans="2:15" hidden="1" outlineLevel="1">
      <c r="B92" s="64"/>
      <c r="I92" s="75"/>
      <c r="J92" s="55"/>
      <c r="K92" s="55"/>
      <c r="L92" s="55"/>
      <c r="M92" s="55"/>
      <c r="N92" s="55"/>
      <c r="O92" s="55"/>
    </row>
    <row r="93" spans="2:15" hidden="1" outlineLevel="1">
      <c r="B93" s="59" t="s">
        <v>137</v>
      </c>
      <c r="I93" s="75">
        <v>11600</v>
      </c>
      <c r="J93" s="52">
        <f>DATA!C88</f>
        <v>11650</v>
      </c>
      <c r="K93" s="52">
        <f>DATA!D88</f>
        <v>11938</v>
      </c>
      <c r="L93" s="52">
        <f>DATA!E88</f>
        <v>12135</v>
      </c>
      <c r="M93" s="52">
        <f>DATA!F88</f>
        <v>12080</v>
      </c>
      <c r="N93" s="52">
        <f>DATA!G88</f>
        <v>11595</v>
      </c>
      <c r="O93" s="52">
        <f>DATA!H88</f>
        <v>11224</v>
      </c>
    </row>
    <row r="94" spans="2:15" hidden="1" outlineLevel="1">
      <c r="B94" s="59" t="s">
        <v>148</v>
      </c>
      <c r="I94" s="75">
        <v>15585</v>
      </c>
      <c r="J94" s="55">
        <f>DATA!C96 - DATA!C88</f>
        <v>13272</v>
      </c>
      <c r="K94" s="55">
        <f>DATA!D96 - DATA!D88</f>
        <v>20838</v>
      </c>
      <c r="L94" s="55">
        <f>DATA!E96 - DATA!E88</f>
        <v>21466</v>
      </c>
      <c r="M94" s="55">
        <f>DATA!F96 - DATA!F88</f>
        <v>23244</v>
      </c>
      <c r="N94" s="55">
        <f>DATA!G96 - DATA!G88</f>
        <v>23904</v>
      </c>
      <c r="O94" s="55">
        <f>DATA!H96 - DATA!H88</f>
        <v>24364</v>
      </c>
    </row>
    <row r="95" spans="2:15" hidden="1" outlineLevel="1">
      <c r="B95" s="59" t="s">
        <v>145</v>
      </c>
      <c r="I95" s="75">
        <v>27185</v>
      </c>
      <c r="J95" s="54">
        <f t="shared" ref="J95:O95" si="31">SUM(J93:J94)</f>
        <v>24922</v>
      </c>
      <c r="K95" s="54">
        <f t="shared" si="31"/>
        <v>32776</v>
      </c>
      <c r="L95" s="54">
        <f t="shared" si="31"/>
        <v>33601</v>
      </c>
      <c r="M95" s="54">
        <f t="shared" si="31"/>
        <v>35324</v>
      </c>
      <c r="N95" s="54">
        <f t="shared" si="31"/>
        <v>35499</v>
      </c>
      <c r="O95" s="54">
        <f t="shared" si="31"/>
        <v>35588</v>
      </c>
    </row>
    <row r="96" spans="2:15" hidden="1" outlineLevel="1">
      <c r="B96" s="59"/>
      <c r="I96" s="75"/>
      <c r="J96" s="55"/>
      <c r="K96" s="55"/>
      <c r="L96" s="55"/>
      <c r="M96" s="55"/>
      <c r="N96" s="55"/>
      <c r="O96" s="55"/>
    </row>
    <row r="97" spans="2:15" ht="15" hidden="1" outlineLevel="1" thickBot="1">
      <c r="B97" s="59" t="s">
        <v>56</v>
      </c>
      <c r="I97" s="75">
        <v>108409</v>
      </c>
      <c r="J97" s="56">
        <f t="shared" ref="J97:O97" si="32">SUM(J91,J95)</f>
        <v>117053</v>
      </c>
      <c r="K97" s="56">
        <f t="shared" si="32"/>
        <v>123013</v>
      </c>
      <c r="L97" s="56">
        <f t="shared" si="32"/>
        <v>132881</v>
      </c>
      <c r="M97" s="56">
        <f t="shared" si="32"/>
        <v>143634</v>
      </c>
      <c r="N97" s="56">
        <f t="shared" si="32"/>
        <v>145769</v>
      </c>
      <c r="O97" s="56">
        <f t="shared" si="32"/>
        <v>148572</v>
      </c>
    </row>
    <row r="98" spans="2:15" hidden="1" outlineLevel="1">
      <c r="B98" s="63"/>
      <c r="I98" s="75"/>
      <c r="J98" s="55"/>
      <c r="K98" s="55"/>
      <c r="L98" s="55"/>
      <c r="M98" s="55"/>
      <c r="N98" s="55"/>
      <c r="O98" s="55"/>
    </row>
    <row r="99" spans="2:15" hidden="1" outlineLevel="1">
      <c r="B99" s="58"/>
      <c r="I99" s="75"/>
      <c r="J99" s="55"/>
      <c r="K99" s="55"/>
      <c r="L99" s="55"/>
      <c r="M99" s="55"/>
      <c r="N99" s="55"/>
      <c r="O99" s="55"/>
    </row>
    <row r="100" spans="2:15" hidden="1" outlineLevel="1">
      <c r="B100" s="58" t="s">
        <v>138</v>
      </c>
      <c r="I100" s="75"/>
      <c r="J100" s="55"/>
      <c r="K100" s="55"/>
      <c r="L100" s="55"/>
      <c r="M100" s="55"/>
      <c r="N100" s="55"/>
      <c r="O100" s="55"/>
    </row>
    <row r="101" spans="2:15" hidden="1" outlineLevel="1">
      <c r="B101" s="58"/>
      <c r="I101" s="75"/>
      <c r="J101" s="55"/>
      <c r="K101" s="55"/>
      <c r="L101" s="55"/>
      <c r="M101" s="55"/>
      <c r="N101" s="55"/>
      <c r="O101" s="55"/>
    </row>
    <row r="102" spans="2:15" hidden="1" outlineLevel="1">
      <c r="B102" s="59" t="s">
        <v>139</v>
      </c>
      <c r="I102" s="75">
        <v>5094</v>
      </c>
      <c r="J102" s="52">
        <f>DATA!C104</f>
        <v>6292</v>
      </c>
      <c r="K102" s="52">
        <f>DATA!D104</f>
        <v>6740</v>
      </c>
      <c r="L102" s="52">
        <f>DATA!E104</f>
        <v>7860</v>
      </c>
      <c r="M102" s="52">
        <f>DATA!F104</f>
        <v>8045</v>
      </c>
      <c r="N102" s="52">
        <f>DATA!G104</f>
        <v>10515</v>
      </c>
      <c r="O102" s="52">
        <f>DATA!H104</f>
        <v>9981</v>
      </c>
    </row>
    <row r="103" spans="2:15" hidden="1" outlineLevel="1">
      <c r="B103" s="59" t="s">
        <v>146</v>
      </c>
      <c r="I103" s="75">
        <v>12734</v>
      </c>
      <c r="J103" s="52">
        <f>DATA!C114 - DATA!C104</f>
        <v>15792</v>
      </c>
      <c r="K103" s="52">
        <f>DATA!D114 - DATA!D104</f>
        <v>20320</v>
      </c>
      <c r="L103" s="52">
        <f>DATA!E114 - DATA!E104</f>
        <v>26295</v>
      </c>
      <c r="M103" s="52">
        <f>DATA!F114 - DATA!F104</f>
        <v>34306</v>
      </c>
      <c r="N103" s="52">
        <f>DATA!G114 - DATA!G104</f>
        <v>33043</v>
      </c>
      <c r="O103" s="52">
        <f>DATA!H114 - DATA!H104</f>
        <v>36123</v>
      </c>
    </row>
    <row r="104" spans="2:15" ht="15" hidden="1" outlineLevel="1" thickBot="1">
      <c r="B104" s="59" t="s">
        <v>70</v>
      </c>
      <c r="I104" s="75">
        <v>17828</v>
      </c>
      <c r="J104" s="56">
        <f t="shared" ref="J104:O104" si="33">SUM(J102:J103)</f>
        <v>22084</v>
      </c>
      <c r="K104" s="56">
        <f t="shared" si="33"/>
        <v>27060</v>
      </c>
      <c r="L104" s="56">
        <f t="shared" si="33"/>
        <v>34155</v>
      </c>
      <c r="M104" s="56">
        <f t="shared" si="33"/>
        <v>42351</v>
      </c>
      <c r="N104" s="56">
        <f t="shared" si="33"/>
        <v>43558</v>
      </c>
      <c r="O104" s="56">
        <f t="shared" si="33"/>
        <v>46104</v>
      </c>
    </row>
    <row r="105" spans="2:15" hidden="1" outlineLevel="1">
      <c r="B105" s="64"/>
      <c r="I105" s="75"/>
      <c r="J105" s="55"/>
      <c r="K105" s="55"/>
      <c r="L105" s="55"/>
      <c r="M105" s="55"/>
      <c r="N105" s="55"/>
      <c r="O105" s="55"/>
    </row>
    <row r="106" spans="2:15" hidden="1" outlineLevel="1">
      <c r="B106" s="59" t="s">
        <v>78</v>
      </c>
      <c r="I106" s="75">
        <v>2938</v>
      </c>
      <c r="J106" s="52">
        <f>DATA!C125</f>
        <v>2960</v>
      </c>
      <c r="K106" s="52">
        <f>DATA!D125</f>
        <v>9090</v>
      </c>
      <c r="L106" s="52">
        <f>DATA!E125</f>
        <v>9496</v>
      </c>
      <c r="M106" s="52">
        <f>DATA!F125</f>
        <v>9317</v>
      </c>
      <c r="N106" s="52">
        <f>DATA!G125</f>
        <v>8887</v>
      </c>
      <c r="O106" s="52">
        <f>DATA!H125</f>
        <v>9026</v>
      </c>
    </row>
    <row r="107" spans="2:15" hidden="1" outlineLevel="1">
      <c r="B107" s="59"/>
      <c r="I107" s="75"/>
      <c r="J107" s="55"/>
      <c r="K107" s="55"/>
      <c r="L107" s="55"/>
      <c r="M107" s="55"/>
      <c r="N107" s="55"/>
      <c r="O107" s="55"/>
    </row>
    <row r="108" spans="2:15" ht="15" hidden="1" outlineLevel="1" thickBot="1">
      <c r="B108" s="59" t="s">
        <v>155</v>
      </c>
      <c r="I108" s="75">
        <v>20766</v>
      </c>
      <c r="J108" s="56">
        <f t="shared" ref="J108:O108" si="34">SUM(J106,J104)</f>
        <v>25044</v>
      </c>
      <c r="K108" s="56">
        <f t="shared" si="34"/>
        <v>36150</v>
      </c>
      <c r="L108" s="56">
        <f t="shared" si="34"/>
        <v>43651</v>
      </c>
      <c r="M108" s="56">
        <f t="shared" si="34"/>
        <v>51668</v>
      </c>
      <c r="N108" s="56">
        <f t="shared" si="34"/>
        <v>52445</v>
      </c>
      <c r="O108" s="56">
        <f t="shared" si="34"/>
        <v>55130</v>
      </c>
    </row>
    <row r="109" spans="2:15" hidden="1" outlineLevel="1">
      <c r="B109" s="64"/>
      <c r="I109" s="75"/>
      <c r="J109" s="55"/>
      <c r="K109" s="55"/>
      <c r="L109" s="55"/>
      <c r="M109" s="55"/>
      <c r="N109" s="55"/>
      <c r="O109" s="55"/>
    </row>
    <row r="110" spans="2:15" hidden="1" outlineLevel="1">
      <c r="B110" s="58" t="s">
        <v>140</v>
      </c>
      <c r="I110" s="75"/>
      <c r="J110" s="55"/>
      <c r="K110" s="55"/>
      <c r="L110" s="55"/>
      <c r="M110" s="55"/>
      <c r="N110" s="55"/>
      <c r="O110" s="55"/>
    </row>
    <row r="111" spans="2:15" hidden="1" outlineLevel="1">
      <c r="B111" s="58"/>
      <c r="I111" s="75"/>
      <c r="J111" s="55"/>
      <c r="K111" s="55"/>
      <c r="L111" s="55"/>
      <c r="M111" s="55"/>
      <c r="N111" s="55"/>
      <c r="O111" s="55"/>
    </row>
    <row r="112" spans="2:15" hidden="1" outlineLevel="1">
      <c r="B112" s="59" t="s">
        <v>141</v>
      </c>
      <c r="I112" s="75">
        <v>191</v>
      </c>
      <c r="J112" s="52">
        <f>DATA!C130</f>
        <v>375</v>
      </c>
      <c r="K112" s="52">
        <f>DATA!D130</f>
        <v>375</v>
      </c>
      <c r="L112" s="52">
        <f>DATA!E130</f>
        <v>370</v>
      </c>
      <c r="M112" s="52">
        <f>DATA!F130</f>
        <v>366</v>
      </c>
      <c r="N112" s="52">
        <f>DATA!G130</f>
        <v>366</v>
      </c>
      <c r="O112" s="52">
        <f>DATA!H130</f>
        <v>362</v>
      </c>
    </row>
    <row r="113" spans="2:15" hidden="1" outlineLevel="1">
      <c r="B113" s="59" t="s">
        <v>147</v>
      </c>
      <c r="I113" s="75">
        <v>0</v>
      </c>
      <c r="J113" s="52">
        <f>DATA!C131</f>
        <v>0</v>
      </c>
      <c r="K113" s="52">
        <f>DATA!D131</f>
        <v>0</v>
      </c>
      <c r="L113" s="52">
        <f>DATA!E131</f>
        <v>0</v>
      </c>
      <c r="M113" s="52">
        <f>DATA!F131</f>
        <v>0</v>
      </c>
      <c r="N113" s="52">
        <f>DATA!G131</f>
        <v>0</v>
      </c>
      <c r="O113" s="52">
        <f>DATA!H131</f>
        <v>0</v>
      </c>
    </row>
    <row r="114" spans="2:15" hidden="1" outlineLevel="1">
      <c r="B114" s="59" t="s">
        <v>151</v>
      </c>
      <c r="I114" s="75">
        <v>2796</v>
      </c>
      <c r="J114" s="52">
        <f>DATA!C132</f>
        <v>2566</v>
      </c>
      <c r="K114" s="52">
        <f>DATA!D132</f>
        <v>3933</v>
      </c>
      <c r="L114" s="52">
        <f>DATA!E132</f>
        <v>5440</v>
      </c>
      <c r="M114" s="52">
        <f>DATA!F132</f>
        <v>9844</v>
      </c>
      <c r="N114" s="52">
        <f>DATA!G132</f>
        <v>14582</v>
      </c>
      <c r="O114" s="52">
        <f>DATA!H132</f>
        <v>19324</v>
      </c>
    </row>
    <row r="115" spans="2:15" hidden="1" outlineLevel="1">
      <c r="B115" s="59" t="s">
        <v>84</v>
      </c>
      <c r="I115" s="75">
        <v>84254</v>
      </c>
      <c r="J115" s="52">
        <f>DATA!C133</f>
        <v>88615</v>
      </c>
      <c r="K115" s="52">
        <f>DATA!D133</f>
        <v>81932</v>
      </c>
      <c r="L115" s="52">
        <f>DATA!E133</f>
        <v>82745</v>
      </c>
      <c r="M115" s="52">
        <f>DATA!F133</f>
        <v>81049</v>
      </c>
      <c r="N115" s="52">
        <f>DATA!G133</f>
        <v>77594</v>
      </c>
      <c r="O115" s="52">
        <f>DATA!H133</f>
        <v>72926</v>
      </c>
    </row>
    <row r="116" spans="2:15" hidden="1" outlineLevel="1">
      <c r="B116" s="59" t="s">
        <v>154</v>
      </c>
      <c r="I116" s="75">
        <v>402</v>
      </c>
      <c r="J116" s="52">
        <f>DATA!C136</f>
        <v>453</v>
      </c>
      <c r="K116" s="52">
        <f>DATA!D136</f>
        <v>623</v>
      </c>
      <c r="L116" s="52">
        <f>DATA!E136</f>
        <v>675</v>
      </c>
      <c r="M116" s="52">
        <f>DATA!F136</f>
        <v>707</v>
      </c>
      <c r="N116" s="52">
        <f>DATA!G136</f>
        <v>782</v>
      </c>
      <c r="O116" s="52">
        <f>DATA!H136</f>
        <v>830</v>
      </c>
    </row>
    <row r="117" spans="2:15" ht="15" hidden="1" outlineLevel="1" thickBot="1">
      <c r="B117" s="59" t="s">
        <v>85</v>
      </c>
      <c r="I117" s="75">
        <v>87643</v>
      </c>
      <c r="J117" s="56">
        <f>SUM(J112:J116)</f>
        <v>92009</v>
      </c>
      <c r="K117" s="56">
        <f t="shared" ref="K117:O117" si="35">SUM(K112:K116)</f>
        <v>86863</v>
      </c>
      <c r="L117" s="56">
        <f t="shared" si="35"/>
        <v>89230</v>
      </c>
      <c r="M117" s="56">
        <f t="shared" si="35"/>
        <v>91966</v>
      </c>
      <c r="N117" s="56">
        <f t="shared" si="35"/>
        <v>93324</v>
      </c>
      <c r="O117" s="56">
        <f t="shared" si="35"/>
        <v>93442</v>
      </c>
    </row>
    <row r="118" spans="2:15" hidden="1" outlineLevel="1">
      <c r="B118" s="64"/>
      <c r="I118" s="75"/>
      <c r="J118" s="55"/>
      <c r="K118" s="55"/>
      <c r="L118" s="55"/>
      <c r="M118" s="55"/>
      <c r="N118" s="55"/>
      <c r="O118" s="55"/>
    </row>
    <row r="119" spans="2:15" hidden="1" outlineLevel="1">
      <c r="B119" s="64"/>
      <c r="I119" s="75"/>
      <c r="J119" s="55"/>
      <c r="K119" s="55"/>
      <c r="L119" s="55"/>
      <c r="M119" s="55"/>
      <c r="N119" s="55"/>
      <c r="O119" s="55"/>
    </row>
    <row r="120" spans="2:15" ht="15" hidden="1" outlineLevel="1" thickBot="1">
      <c r="B120" s="59" t="s">
        <v>142</v>
      </c>
      <c r="I120" s="75">
        <v>108409</v>
      </c>
      <c r="J120" s="56">
        <f t="shared" ref="J120:O120" si="36">J117 + J108</f>
        <v>117053</v>
      </c>
      <c r="K120" s="56">
        <f t="shared" si="36"/>
        <v>123013</v>
      </c>
      <c r="L120" s="56">
        <f t="shared" si="36"/>
        <v>132881</v>
      </c>
      <c r="M120" s="56">
        <f t="shared" si="36"/>
        <v>143634</v>
      </c>
      <c r="N120" s="56">
        <f t="shared" si="36"/>
        <v>145769</v>
      </c>
      <c r="O120" s="56">
        <f t="shared" si="36"/>
        <v>148572</v>
      </c>
    </row>
    <row r="121" spans="2:15" hidden="1" outlineLevel="1">
      <c r="B121" s="63"/>
      <c r="I121" s="75"/>
    </row>
    <row r="122" spans="2:15" hidden="1" outlineLevel="1">
      <c r="B122" s="63"/>
    </row>
    <row r="123" spans="2:15" hidden="1" outlineLevel="1">
      <c r="B123" s="65" t="s">
        <v>143</v>
      </c>
      <c r="J123" s="66">
        <f t="shared" ref="J123:O123" si="37">IF(J120 = J97, 1, 0)</f>
        <v>1</v>
      </c>
      <c r="K123" s="67">
        <f t="shared" si="37"/>
        <v>1</v>
      </c>
      <c r="L123" s="67">
        <f t="shared" si="37"/>
        <v>1</v>
      </c>
      <c r="M123" s="67">
        <f t="shared" si="37"/>
        <v>1</v>
      </c>
      <c r="N123" s="67">
        <f t="shared" si="37"/>
        <v>1</v>
      </c>
      <c r="O123" s="68">
        <f t="shared" si="37"/>
        <v>1</v>
      </c>
    </row>
    <row r="124" spans="2:15" hidden="1" outlineLevel="1"/>
    <row r="125" spans="2:15" collapsed="1"/>
  </sheetData>
  <sheetProtection algorithmName="SHA-512" hashValue="wGEBTICyu9x2RN1x9X0Dwqf4nAb9o5ZKM/Oc2DpDKhIumqNsD77i+EIuhip+qL+EaDhrUaxdxjeKWJoQTIukHw==" saltValue="f/JWSiunrKQAto3lnjmCig==" spinCount="100000" sheet="1" objects="1" scenarios="1" formatColumns="0" formatRows="0"/>
  <conditionalFormatting sqref="J123:O123">
    <cfRule type="cellIs" dxfId="1" priority="1" operator="equal">
      <formula>0</formula>
    </cfRule>
    <cfRule type="cellIs" dxfId="0" priority="2" operator="equal">
      <formula>"Yes"</formula>
    </cfRule>
  </conditionalFormatting>
  <pageMargins left="0.25" right="0.25" top="0" bottom="0.75" header="0.3" footer="0.3"/>
  <pageSetup scale="78"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CB5D9-B730-4CB3-B613-3290FDB1A73D}">
  <dimension ref="A1:R158"/>
  <sheetViews>
    <sheetView topLeftCell="A65" zoomScaleNormal="100" workbookViewId="0">
      <selection activeCell="B78" sqref="B78"/>
    </sheetView>
  </sheetViews>
  <sheetFormatPr defaultColWidth="8.296875" defaultRowHeight="14.4" outlineLevelRow="1"/>
  <cols>
    <col min="1" max="1" width="36" style="12" customWidth="1"/>
    <col min="2" max="2" width="10.796875" style="36" bestFit="1" customWidth="1"/>
    <col min="3" max="8" width="12.59765625" style="42" customWidth="1"/>
    <col min="10" max="16384" width="8.296875" style="36"/>
  </cols>
  <sheetData>
    <row r="1" spans="1:18" ht="27">
      <c r="A1" s="34" t="s">
        <v>94</v>
      </c>
      <c r="B1" s="36" t="s">
        <v>95</v>
      </c>
      <c r="C1" s="35" t="s">
        <v>88</v>
      </c>
      <c r="D1" s="35" t="s">
        <v>89</v>
      </c>
      <c r="E1" s="33" t="s">
        <v>90</v>
      </c>
      <c r="F1" s="35" t="s">
        <v>91</v>
      </c>
      <c r="G1" s="35" t="s">
        <v>92</v>
      </c>
      <c r="H1" s="35" t="s">
        <v>93</v>
      </c>
    </row>
    <row r="2" spans="1:18">
      <c r="A2" s="9"/>
      <c r="C2" s="37"/>
      <c r="D2" s="37"/>
      <c r="E2" s="37" t="s">
        <v>96</v>
      </c>
      <c r="F2" s="37"/>
      <c r="G2" s="37"/>
      <c r="H2" s="37" t="s">
        <v>97</v>
      </c>
    </row>
    <row r="3" spans="1:18">
      <c r="A3" s="9" t="s">
        <v>0</v>
      </c>
      <c r="C3" s="31"/>
      <c r="D3" s="31"/>
      <c r="E3" s="31"/>
      <c r="F3" s="31"/>
      <c r="G3" s="31"/>
      <c r="H3" s="31"/>
    </row>
    <row r="4" spans="1:18" ht="27" outlineLevel="1">
      <c r="A4" s="10" t="s">
        <v>1</v>
      </c>
      <c r="B4" s="36">
        <v>123104</v>
      </c>
      <c r="C4" s="36">
        <v>146463</v>
      </c>
      <c r="D4" s="36">
        <v>156949</v>
      </c>
      <c r="E4" s="36">
        <v>164177</v>
      </c>
      <c r="F4" s="36">
        <v>191754</v>
      </c>
      <c r="G4" s="36">
        <v>225458</v>
      </c>
      <c r="H4" s="36">
        <v>240893</v>
      </c>
      <c r="J4" s="36">
        <v>10</v>
      </c>
    </row>
    <row r="5" spans="1:18" outlineLevel="1">
      <c r="A5" s="11" t="s">
        <v>2</v>
      </c>
      <c r="B5" s="36">
        <v>0</v>
      </c>
      <c r="C5" s="36">
        <v>0</v>
      </c>
      <c r="D5" s="36">
        <v>0</v>
      </c>
      <c r="E5" s="36">
        <v>0</v>
      </c>
      <c r="F5" s="36">
        <v>0</v>
      </c>
      <c r="G5" s="36">
        <v>0</v>
      </c>
      <c r="H5" s="36">
        <v>0</v>
      </c>
    </row>
    <row r="6" spans="1:18">
      <c r="A6" s="9" t="s">
        <v>3</v>
      </c>
      <c r="B6" s="36">
        <v>123104</v>
      </c>
      <c r="C6" s="36">
        <v>146463</v>
      </c>
      <c r="D6" s="36">
        <v>156949</v>
      </c>
      <c r="E6" s="36">
        <v>164177</v>
      </c>
      <c r="F6" s="36">
        <v>191754</v>
      </c>
      <c r="G6" s="36">
        <v>225458</v>
      </c>
      <c r="H6" s="36">
        <v>240893</v>
      </c>
      <c r="K6" s="36" t="s">
        <v>153</v>
      </c>
      <c r="L6" s="36">
        <v>2018</v>
      </c>
      <c r="M6" s="36">
        <v>2019</v>
      </c>
      <c r="N6" s="36">
        <v>2020</v>
      </c>
      <c r="O6" s="36">
        <v>2021</v>
      </c>
      <c r="P6" s="36">
        <v>2022</v>
      </c>
      <c r="Q6" s="36">
        <v>2023</v>
      </c>
      <c r="R6" s="36">
        <v>2024</v>
      </c>
    </row>
    <row r="7" spans="1:18">
      <c r="B7" s="36">
        <v>0</v>
      </c>
      <c r="C7" s="36">
        <v>0</v>
      </c>
      <c r="D7" s="36">
        <v>0</v>
      </c>
      <c r="E7" s="36">
        <v>0</v>
      </c>
      <c r="F7" s="36">
        <v>0</v>
      </c>
      <c r="G7" s="36">
        <v>0</v>
      </c>
      <c r="H7" s="36">
        <v>0</v>
      </c>
      <c r="L7" s="74"/>
      <c r="M7" s="74">
        <v>11424</v>
      </c>
      <c r="N7" s="74">
        <v>37634</v>
      </c>
      <c r="O7" s="74">
        <v>10850</v>
      </c>
      <c r="P7" s="74">
        <v>13317</v>
      </c>
      <c r="Q7" s="74">
        <v>41347</v>
      </c>
      <c r="R7" s="74">
        <v>25137</v>
      </c>
    </row>
    <row r="8" spans="1:18">
      <c r="A8" s="9" t="s">
        <v>4</v>
      </c>
      <c r="B8" s="36">
        <v>0</v>
      </c>
      <c r="C8" s="36">
        <v>0</v>
      </c>
      <c r="D8" s="36">
        <v>0</v>
      </c>
      <c r="E8" s="36">
        <v>0</v>
      </c>
      <c r="F8" s="36">
        <v>0</v>
      </c>
      <c r="G8" s="36">
        <v>0</v>
      </c>
      <c r="H8" s="36">
        <v>0</v>
      </c>
    </row>
    <row r="9" spans="1:18">
      <c r="A9" s="13" t="s">
        <v>5</v>
      </c>
      <c r="B9" s="36">
        <v>0</v>
      </c>
      <c r="C9" s="36">
        <v>0</v>
      </c>
      <c r="D9" s="36">
        <v>0</v>
      </c>
      <c r="E9" s="36">
        <v>0</v>
      </c>
      <c r="F9" s="36">
        <v>0</v>
      </c>
      <c r="G9" s="36">
        <v>0</v>
      </c>
      <c r="H9" s="36">
        <v>0</v>
      </c>
    </row>
    <row r="10" spans="1:18" outlineLevel="1">
      <c r="A10" s="14" t="s">
        <v>6</v>
      </c>
      <c r="B10" s="36">
        <v>50350</v>
      </c>
      <c r="C10" s="36">
        <v>60553</v>
      </c>
      <c r="D10" s="36">
        <v>65652</v>
      </c>
      <c r="E10" s="36">
        <v>71946</v>
      </c>
      <c r="F10" s="36">
        <v>84135</v>
      </c>
      <c r="G10" s="36">
        <v>99147</v>
      </c>
      <c r="H10" s="36">
        <v>109244</v>
      </c>
    </row>
    <row r="11" spans="1:18" outlineLevel="1">
      <c r="A11" s="14" t="s">
        <v>7</v>
      </c>
      <c r="B11" s="36">
        <v>8431</v>
      </c>
      <c r="C11" s="36">
        <v>10686</v>
      </c>
      <c r="D11" s="36">
        <v>12500</v>
      </c>
      <c r="E11" s="36">
        <v>12648</v>
      </c>
      <c r="F11" s="36">
        <v>16795</v>
      </c>
      <c r="G11" s="36">
        <v>20642</v>
      </c>
      <c r="H11" s="36">
        <v>14986</v>
      </c>
    </row>
    <row r="12" spans="1:18" outlineLevel="1">
      <c r="A12" s="14" t="s">
        <v>8</v>
      </c>
      <c r="B12" s="36">
        <v>2700</v>
      </c>
      <c r="C12" s="36">
        <v>2270</v>
      </c>
      <c r="D12" s="36">
        <v>1905</v>
      </c>
      <c r="E12" s="36">
        <v>1462</v>
      </c>
      <c r="F12" s="36">
        <v>1163</v>
      </c>
      <c r="G12" s="36">
        <v>1881</v>
      </c>
      <c r="H12" s="36">
        <v>3702</v>
      </c>
    </row>
    <row r="13" spans="1:18" outlineLevel="1">
      <c r="A13" s="14" t="s">
        <v>9</v>
      </c>
      <c r="B13" s="36">
        <v>1573</v>
      </c>
      <c r="C13" s="36">
        <v>1649</v>
      </c>
      <c r="D13" s="36">
        <v>2687</v>
      </c>
      <c r="E13" s="36">
        <v>3085</v>
      </c>
      <c r="F13" s="36">
        <v>3568</v>
      </c>
      <c r="G13" s="36">
        <v>3820</v>
      </c>
      <c r="H13" s="36">
        <v>3820</v>
      </c>
    </row>
    <row r="14" spans="1:18" outlineLevel="1">
      <c r="A14" s="14" t="s">
        <v>10</v>
      </c>
      <c r="B14" s="36">
        <v>1876</v>
      </c>
      <c r="C14" s="36">
        <v>2334</v>
      </c>
      <c r="D14" s="36">
        <v>2291</v>
      </c>
      <c r="E14" s="36">
        <v>883</v>
      </c>
      <c r="F14" s="36">
        <v>1294</v>
      </c>
      <c r="G14" s="36">
        <v>1815</v>
      </c>
      <c r="H14" s="36">
        <v>2059</v>
      </c>
    </row>
    <row r="15" spans="1:18" outlineLevel="1">
      <c r="A15" s="14" t="s">
        <v>11</v>
      </c>
      <c r="B15" s="36">
        <v>791</v>
      </c>
      <c r="C15" s="36">
        <v>984</v>
      </c>
      <c r="D15" s="36">
        <v>1232</v>
      </c>
      <c r="E15" s="36">
        <v>1434</v>
      </c>
      <c r="F15" s="36">
        <v>1537</v>
      </c>
      <c r="G15" s="36">
        <v>1500</v>
      </c>
      <c r="H15" s="36">
        <v>1475</v>
      </c>
    </row>
    <row r="16" spans="1:18" outlineLevel="1">
      <c r="A16" s="14" t="s">
        <v>12</v>
      </c>
      <c r="B16" s="36">
        <v>2646</v>
      </c>
      <c r="C16" s="36">
        <v>2984</v>
      </c>
      <c r="D16" s="36">
        <v>1798</v>
      </c>
      <c r="E16" s="36">
        <v>1401</v>
      </c>
      <c r="F16" s="36">
        <v>1354</v>
      </c>
      <c r="G16" s="36">
        <v>1651</v>
      </c>
      <c r="H16" s="36">
        <v>1926</v>
      </c>
    </row>
    <row r="17" spans="1:8" outlineLevel="1">
      <c r="A17" s="14" t="s">
        <v>13</v>
      </c>
      <c r="B17" s="36">
        <v>2921</v>
      </c>
      <c r="C17" s="36">
        <v>3698</v>
      </c>
      <c r="D17" s="36">
        <v>4257</v>
      </c>
      <c r="E17" s="36">
        <v>4279</v>
      </c>
      <c r="F17" s="36">
        <v>4775</v>
      </c>
      <c r="G17" s="36">
        <v>5812</v>
      </c>
      <c r="H17" s="36">
        <v>6383</v>
      </c>
    </row>
    <row r="18" spans="1:8">
      <c r="A18" s="12" t="s">
        <v>14</v>
      </c>
      <c r="B18" s="36">
        <v>71288</v>
      </c>
      <c r="C18" s="36">
        <v>85158</v>
      </c>
      <c r="D18" s="36">
        <v>92322</v>
      </c>
      <c r="E18" s="36">
        <v>97138</v>
      </c>
      <c r="F18" s="36">
        <v>114621</v>
      </c>
      <c r="G18" s="36">
        <v>136268</v>
      </c>
      <c r="H18" s="36">
        <v>143595</v>
      </c>
    </row>
    <row r="19" spans="1:8">
      <c r="B19" s="36">
        <v>0</v>
      </c>
      <c r="C19" s="36">
        <v>0</v>
      </c>
      <c r="D19" s="36">
        <v>0</v>
      </c>
      <c r="E19" s="36">
        <v>0</v>
      </c>
      <c r="F19" s="36">
        <v>0</v>
      </c>
      <c r="G19" s="36">
        <v>0</v>
      </c>
      <c r="H19" s="36">
        <v>0</v>
      </c>
    </row>
    <row r="20" spans="1:8">
      <c r="A20" s="9" t="s">
        <v>15</v>
      </c>
      <c r="B20" s="36">
        <v>51816</v>
      </c>
      <c r="C20" s="36">
        <v>61305</v>
      </c>
      <c r="D20" s="36">
        <v>64627</v>
      </c>
      <c r="E20" s="36">
        <v>67039</v>
      </c>
      <c r="F20" s="36">
        <v>77133</v>
      </c>
      <c r="G20" s="36">
        <v>89190</v>
      </c>
      <c r="H20" s="36">
        <v>97298</v>
      </c>
    </row>
    <row r="21" spans="1:8">
      <c r="B21" s="36">
        <v>0</v>
      </c>
      <c r="C21" s="36">
        <v>0</v>
      </c>
      <c r="D21" s="36">
        <v>0</v>
      </c>
      <c r="E21" s="36">
        <v>0</v>
      </c>
      <c r="F21" s="36">
        <v>0</v>
      </c>
      <c r="G21" s="36">
        <v>0</v>
      </c>
      <c r="H21" s="36">
        <v>0</v>
      </c>
    </row>
    <row r="22" spans="1:8">
      <c r="A22" s="9" t="s">
        <v>16</v>
      </c>
      <c r="B22" s="36">
        <v>0</v>
      </c>
      <c r="C22" s="36">
        <v>0</v>
      </c>
      <c r="D22" s="36">
        <v>0</v>
      </c>
      <c r="E22" s="36">
        <v>0</v>
      </c>
      <c r="F22" s="36">
        <v>0</v>
      </c>
      <c r="G22" s="36">
        <v>0</v>
      </c>
      <c r="H22" s="36">
        <v>0</v>
      </c>
    </row>
    <row r="23" spans="1:8">
      <c r="A23" s="13" t="s">
        <v>17</v>
      </c>
      <c r="B23" s="36">
        <v>0</v>
      </c>
      <c r="C23" s="36">
        <v>0</v>
      </c>
      <c r="D23" s="36">
        <v>0</v>
      </c>
      <c r="E23" s="36">
        <v>0</v>
      </c>
      <c r="F23" s="36">
        <v>0</v>
      </c>
      <c r="G23" s="36">
        <v>0</v>
      </c>
      <c r="H23" s="36">
        <v>0</v>
      </c>
    </row>
    <row r="24" spans="1:8" outlineLevel="1">
      <c r="A24" s="14" t="s">
        <v>6</v>
      </c>
      <c r="B24" s="36">
        <v>16046</v>
      </c>
      <c r="C24" s="36">
        <v>17692</v>
      </c>
      <c r="D24" s="36">
        <v>20300</v>
      </c>
      <c r="E24" s="36">
        <v>19868</v>
      </c>
      <c r="F24" s="36">
        <v>23419</v>
      </c>
      <c r="G24" s="36">
        <v>28375</v>
      </c>
      <c r="H24" s="36">
        <v>30888</v>
      </c>
    </row>
    <row r="25" spans="1:8" outlineLevel="1">
      <c r="A25" s="14" t="s">
        <v>7</v>
      </c>
      <c r="B25" s="36">
        <v>559</v>
      </c>
      <c r="C25" s="36">
        <v>644</v>
      </c>
      <c r="D25" s="36">
        <v>437</v>
      </c>
      <c r="E25" s="36">
        <v>569</v>
      </c>
      <c r="F25" s="36">
        <v>615</v>
      </c>
      <c r="G25" s="36">
        <v>693</v>
      </c>
      <c r="H25" s="36">
        <v>834</v>
      </c>
    </row>
    <row r="26" spans="1:8" outlineLevel="1">
      <c r="A26" s="14" t="s">
        <v>18</v>
      </c>
      <c r="B26" s="36">
        <v>208</v>
      </c>
      <c r="C26" s="36">
        <v>187</v>
      </c>
      <c r="D26" s="36">
        <v>144</v>
      </c>
      <c r="E26" s="36">
        <v>201</v>
      </c>
      <c r="F26" s="36">
        <v>135</v>
      </c>
      <c r="G26" s="36">
        <v>139</v>
      </c>
      <c r="H26" s="36">
        <v>114</v>
      </c>
    </row>
    <row r="27" spans="1:8" outlineLevel="1">
      <c r="A27" s="14" t="s">
        <v>9</v>
      </c>
      <c r="B27" s="36">
        <v>441</v>
      </c>
      <c r="C27" s="36">
        <v>406</v>
      </c>
      <c r="D27" s="36">
        <v>843</v>
      </c>
      <c r="E27" s="36">
        <v>980</v>
      </c>
      <c r="F27" s="36">
        <v>1036</v>
      </c>
      <c r="G27" s="36">
        <v>1203</v>
      </c>
      <c r="H27" s="36">
        <v>1164</v>
      </c>
    </row>
    <row r="28" spans="1:8" outlineLevel="1">
      <c r="A28" s="14" t="s">
        <v>12</v>
      </c>
      <c r="B28" s="36">
        <v>1291</v>
      </c>
      <c r="C28" s="36">
        <v>1278</v>
      </c>
      <c r="D28" s="36">
        <v>906</v>
      </c>
      <c r="E28" s="36">
        <v>729</v>
      </c>
      <c r="F28" s="36">
        <v>785</v>
      </c>
      <c r="G28" s="36">
        <v>1003</v>
      </c>
      <c r="H28" s="36">
        <v>1174</v>
      </c>
    </row>
    <row r="29" spans="1:8" outlineLevel="1">
      <c r="A29" s="14" t="s">
        <v>10</v>
      </c>
      <c r="B29" s="36">
        <v>941</v>
      </c>
      <c r="C29" s="36">
        <v>1140</v>
      </c>
      <c r="D29" s="36">
        <v>1004</v>
      </c>
      <c r="E29" s="36">
        <v>198</v>
      </c>
      <c r="F29" s="36">
        <v>294</v>
      </c>
      <c r="G29" s="36">
        <v>861</v>
      </c>
      <c r="H29" s="36">
        <v>913</v>
      </c>
    </row>
    <row r="30" spans="1:8" outlineLevel="1">
      <c r="A30" s="14" t="s">
        <v>11</v>
      </c>
      <c r="B30" s="36">
        <v>269</v>
      </c>
      <c r="C30" s="36">
        <v>338</v>
      </c>
      <c r="D30" s="36">
        <v>360</v>
      </c>
      <c r="E30" s="36">
        <v>462</v>
      </c>
      <c r="F30" s="36">
        <v>514</v>
      </c>
      <c r="G30" s="36">
        <v>745</v>
      </c>
      <c r="H30" s="36">
        <v>788</v>
      </c>
    </row>
    <row r="31" spans="1:8" outlineLevel="1">
      <c r="A31" s="14" t="s">
        <v>13</v>
      </c>
      <c r="B31" s="36">
        <v>1559</v>
      </c>
      <c r="C31" s="36">
        <v>2170</v>
      </c>
      <c r="D31" s="36">
        <v>2053</v>
      </c>
      <c r="E31" s="36">
        <v>1551</v>
      </c>
      <c r="F31" s="36">
        <v>1882</v>
      </c>
      <c r="G31" s="36">
        <v>1934</v>
      </c>
      <c r="H31" s="36">
        <v>2112</v>
      </c>
    </row>
    <row r="32" spans="1:8">
      <c r="A32" s="12" t="s">
        <v>19</v>
      </c>
      <c r="B32" s="36">
        <v>21314</v>
      </c>
      <c r="C32" s="36">
        <v>23855</v>
      </c>
      <c r="D32" s="36">
        <v>26047</v>
      </c>
      <c r="E32" s="36">
        <v>24558</v>
      </c>
      <c r="F32" s="36">
        <v>28680</v>
      </c>
      <c r="G32" s="36">
        <v>34953</v>
      </c>
      <c r="H32" s="36">
        <v>37987</v>
      </c>
    </row>
    <row r="33" spans="1:8">
      <c r="B33" s="36">
        <v>0</v>
      </c>
      <c r="C33" s="36">
        <v>0</v>
      </c>
      <c r="D33" s="36">
        <v>0</v>
      </c>
      <c r="E33" s="36">
        <v>0</v>
      </c>
      <c r="F33" s="36">
        <v>0</v>
      </c>
      <c r="G33" s="36">
        <v>0</v>
      </c>
      <c r="H33" s="36">
        <v>0</v>
      </c>
    </row>
    <row r="34" spans="1:8">
      <c r="A34" s="9" t="s">
        <v>20</v>
      </c>
      <c r="B34" s="36">
        <v>30502</v>
      </c>
      <c r="C34" s="36">
        <v>37450</v>
      </c>
      <c r="D34" s="36">
        <v>38580</v>
      </c>
      <c r="E34" s="36">
        <v>42481</v>
      </c>
      <c r="F34" s="36">
        <v>48453</v>
      </c>
      <c r="G34" s="36">
        <v>54237</v>
      </c>
      <c r="H34" s="36">
        <v>59311</v>
      </c>
    </row>
    <row r="35" spans="1:8">
      <c r="A35" s="9"/>
      <c r="B35" s="36">
        <v>0</v>
      </c>
      <c r="C35" s="36">
        <v>0</v>
      </c>
      <c r="D35" s="36">
        <v>0</v>
      </c>
      <c r="E35" s="36">
        <v>0</v>
      </c>
      <c r="F35" s="36">
        <v>0</v>
      </c>
      <c r="G35" s="36">
        <v>0</v>
      </c>
      <c r="H35" s="36">
        <v>0</v>
      </c>
    </row>
    <row r="36" spans="1:8" s="38" customFormat="1" ht="13.2">
      <c r="A36" s="12" t="s">
        <v>21</v>
      </c>
      <c r="B36" s="36">
        <v>3590</v>
      </c>
      <c r="C36" s="36">
        <v>4113</v>
      </c>
      <c r="D36" s="36">
        <v>3668</v>
      </c>
      <c r="E36" s="36">
        <v>2497</v>
      </c>
      <c r="F36" s="36">
        <v>3234</v>
      </c>
      <c r="G36" s="36">
        <v>2670</v>
      </c>
      <c r="H36" s="36">
        <v>3727</v>
      </c>
    </row>
    <row r="37" spans="1:8">
      <c r="B37" s="36">
        <v>0</v>
      </c>
      <c r="C37" s="36">
        <v>0</v>
      </c>
      <c r="D37" s="36">
        <v>0</v>
      </c>
      <c r="E37" s="36">
        <v>0</v>
      </c>
      <c r="F37" s="36">
        <v>0</v>
      </c>
      <c r="G37" s="36">
        <v>0</v>
      </c>
      <c r="H37" s="36">
        <v>0</v>
      </c>
    </row>
    <row r="38" spans="1:8">
      <c r="A38" s="9" t="s">
        <v>22</v>
      </c>
      <c r="B38" s="36">
        <v>34092</v>
      </c>
      <c r="C38" s="36">
        <v>41563</v>
      </c>
      <c r="D38" s="36">
        <v>42248</v>
      </c>
      <c r="E38" s="36">
        <v>44978</v>
      </c>
      <c r="F38" s="36">
        <v>51687</v>
      </c>
      <c r="G38" s="36">
        <v>56907</v>
      </c>
      <c r="H38" s="36">
        <v>63038</v>
      </c>
    </row>
    <row r="39" spans="1:8">
      <c r="B39" s="36">
        <v>0</v>
      </c>
      <c r="C39" s="36">
        <v>0</v>
      </c>
      <c r="D39" s="36">
        <v>0</v>
      </c>
      <c r="E39" s="36">
        <v>0</v>
      </c>
      <c r="F39" s="36">
        <v>0</v>
      </c>
      <c r="G39" s="36">
        <v>0</v>
      </c>
      <c r="H39" s="36">
        <v>0</v>
      </c>
    </row>
    <row r="40" spans="1:8">
      <c r="A40" s="15" t="s">
        <v>23</v>
      </c>
      <c r="B40" s="36">
        <v>8212</v>
      </c>
      <c r="C40" s="36">
        <v>10001</v>
      </c>
      <c r="D40" s="36">
        <v>9801</v>
      </c>
      <c r="E40" s="36">
        <v>11458</v>
      </c>
      <c r="F40" s="36">
        <v>13238</v>
      </c>
      <c r="G40" s="36">
        <v>14604</v>
      </c>
      <c r="H40" s="36">
        <v>16262</v>
      </c>
    </row>
    <row r="41" spans="1:8">
      <c r="B41" s="36">
        <v>0</v>
      </c>
      <c r="C41" s="36">
        <v>0</v>
      </c>
      <c r="D41" s="36">
        <v>0</v>
      </c>
      <c r="E41" s="36">
        <v>0</v>
      </c>
      <c r="F41" s="36">
        <v>0</v>
      </c>
      <c r="G41" s="36">
        <v>0</v>
      </c>
      <c r="H41" s="36">
        <v>0</v>
      </c>
    </row>
    <row r="42" spans="1:8">
      <c r="A42" s="9" t="s">
        <v>24</v>
      </c>
      <c r="B42" s="36">
        <v>25880</v>
      </c>
      <c r="C42" s="36">
        <v>31562</v>
      </c>
      <c r="D42" s="36">
        <v>32447</v>
      </c>
      <c r="E42" s="36">
        <v>33520</v>
      </c>
      <c r="F42" s="36">
        <v>38449</v>
      </c>
      <c r="G42" s="36">
        <v>42303</v>
      </c>
      <c r="H42" s="36">
        <v>46776</v>
      </c>
    </row>
    <row r="43" spans="1:8">
      <c r="B43" s="36">
        <v>0</v>
      </c>
      <c r="C43" s="36">
        <v>0</v>
      </c>
      <c r="D43" s="36">
        <v>0</v>
      </c>
      <c r="E43" s="36">
        <v>0</v>
      </c>
      <c r="F43" s="36">
        <v>0</v>
      </c>
      <c r="G43" s="36">
        <v>0</v>
      </c>
      <c r="H43" s="36">
        <v>0</v>
      </c>
    </row>
    <row r="44" spans="1:8">
      <c r="A44" s="12" t="s">
        <v>25</v>
      </c>
      <c r="B44" s="36">
        <v>0</v>
      </c>
      <c r="C44" s="36">
        <v>0</v>
      </c>
      <c r="D44" s="36">
        <v>0</v>
      </c>
      <c r="E44" s="36">
        <v>0</v>
      </c>
      <c r="F44" s="36">
        <v>0</v>
      </c>
      <c r="G44" s="36">
        <v>0</v>
      </c>
      <c r="H44" s="36">
        <v>0</v>
      </c>
    </row>
    <row r="45" spans="1:8">
      <c r="A45" s="16" t="s">
        <v>26</v>
      </c>
      <c r="B45" s="36">
        <v>-54</v>
      </c>
      <c r="C45" s="36">
        <v>-90</v>
      </c>
      <c r="D45" s="36">
        <v>-107</v>
      </c>
      <c r="E45" s="36">
        <v>-132</v>
      </c>
      <c r="F45" s="36">
        <v>-122</v>
      </c>
      <c r="G45" s="36">
        <v>-156</v>
      </c>
      <c r="H45" s="36">
        <v>-191</v>
      </c>
    </row>
    <row r="46" spans="1:8">
      <c r="B46" s="36">
        <v>0</v>
      </c>
      <c r="C46" s="36">
        <v>0</v>
      </c>
      <c r="D46" s="36">
        <v>0</v>
      </c>
      <c r="E46" s="36">
        <v>0</v>
      </c>
      <c r="F46" s="36">
        <v>0</v>
      </c>
      <c r="G46" s="36">
        <v>0</v>
      </c>
      <c r="H46" s="36">
        <v>0</v>
      </c>
    </row>
    <row r="47" spans="1:8">
      <c r="A47" s="9" t="s">
        <v>27</v>
      </c>
      <c r="B47" s="36">
        <v>25826</v>
      </c>
      <c r="C47" s="36">
        <v>31472</v>
      </c>
      <c r="D47" s="36">
        <v>32340</v>
      </c>
      <c r="E47" s="36">
        <v>33388</v>
      </c>
      <c r="F47" s="36">
        <v>38327</v>
      </c>
      <c r="G47" s="36">
        <v>42147</v>
      </c>
      <c r="H47" s="36">
        <v>46585</v>
      </c>
    </row>
    <row r="48" spans="1:8">
      <c r="B48" s="36">
        <v>0</v>
      </c>
      <c r="C48" s="36">
        <v>0</v>
      </c>
      <c r="D48" s="36">
        <v>0</v>
      </c>
      <c r="E48" s="36">
        <v>0</v>
      </c>
      <c r="F48" s="36">
        <v>0</v>
      </c>
      <c r="G48" s="36">
        <v>0</v>
      </c>
      <c r="H48" s="36">
        <v>0</v>
      </c>
    </row>
    <row r="49" spans="1:8">
      <c r="A49" s="9" t="s">
        <v>28</v>
      </c>
      <c r="B49" s="36">
        <v>25826</v>
      </c>
      <c r="C49" s="36">
        <v>31472</v>
      </c>
      <c r="D49" s="36">
        <v>32340</v>
      </c>
      <c r="E49" s="36">
        <v>33388</v>
      </c>
      <c r="F49" s="36">
        <v>38327</v>
      </c>
      <c r="G49" s="36">
        <v>42147</v>
      </c>
      <c r="H49" s="36">
        <v>46585</v>
      </c>
    </row>
    <row r="50" spans="1:8">
      <c r="A50" s="9"/>
      <c r="B50" s="36">
        <v>0</v>
      </c>
      <c r="C50" s="36">
        <v>0</v>
      </c>
      <c r="D50" s="36">
        <v>0</v>
      </c>
      <c r="E50" s="36">
        <v>0</v>
      </c>
      <c r="F50" s="36">
        <v>0</v>
      </c>
      <c r="G50" s="36">
        <v>0</v>
      </c>
      <c r="H50" s="36">
        <v>0</v>
      </c>
    </row>
    <row r="51" spans="1:8">
      <c r="B51" s="36">
        <v>0</v>
      </c>
      <c r="C51" s="36">
        <v>0</v>
      </c>
      <c r="D51" s="36">
        <v>0</v>
      </c>
      <c r="E51" s="36">
        <v>0</v>
      </c>
      <c r="F51" s="36">
        <v>0</v>
      </c>
      <c r="G51" s="36">
        <v>0</v>
      </c>
      <c r="H51" s="36">
        <v>0</v>
      </c>
    </row>
    <row r="52" spans="1:8" s="39" customFormat="1" ht="26.4">
      <c r="A52" s="17" t="s">
        <v>29</v>
      </c>
      <c r="B52" s="36">
        <v>13.419</v>
      </c>
      <c r="C52" s="36">
        <v>8.3049999999999997</v>
      </c>
      <c r="D52" s="36">
        <v>8.6189999999999998</v>
      </c>
      <c r="E52" s="36">
        <v>8.9269999999999996</v>
      </c>
      <c r="F52" s="36">
        <v>10.362</v>
      </c>
      <c r="G52" s="36">
        <v>11.519</v>
      </c>
      <c r="H52" s="36">
        <v>12.773999999999999</v>
      </c>
    </row>
    <row r="53" spans="1:8">
      <c r="B53" s="36">
        <v>0</v>
      </c>
      <c r="C53" s="36">
        <v>0</v>
      </c>
      <c r="D53" s="36">
        <v>0</v>
      </c>
      <c r="E53" s="36">
        <v>0</v>
      </c>
      <c r="F53" s="36">
        <v>0</v>
      </c>
      <c r="G53" s="36">
        <v>0</v>
      </c>
      <c r="H53" s="36">
        <v>0</v>
      </c>
    </row>
    <row r="54" spans="1:8">
      <c r="A54" s="12" t="s">
        <v>30</v>
      </c>
      <c r="B54" s="36">
        <v>5</v>
      </c>
      <c r="C54" s="36">
        <v>3</v>
      </c>
      <c r="D54" s="36">
        <v>7.3</v>
      </c>
      <c r="E54" s="36">
        <v>3.8</v>
      </c>
      <c r="F54" s="36">
        <v>4.3</v>
      </c>
      <c r="G54" s="36">
        <v>11.5</v>
      </c>
      <c r="H54" s="36">
        <v>7.3</v>
      </c>
    </row>
    <row r="55" spans="1:8">
      <c r="B55" s="36">
        <v>0</v>
      </c>
      <c r="C55" s="36">
        <v>0</v>
      </c>
      <c r="D55" s="36">
        <v>0</v>
      </c>
      <c r="E55" s="36">
        <v>0</v>
      </c>
      <c r="F55" s="36">
        <v>0</v>
      </c>
      <c r="G55" s="36">
        <v>0</v>
      </c>
      <c r="H55" s="36">
        <v>0</v>
      </c>
    </row>
    <row r="56" spans="1:8">
      <c r="A56" s="9"/>
      <c r="B56" s="36">
        <v>0</v>
      </c>
      <c r="C56" s="36">
        <v>0</v>
      </c>
      <c r="D56" s="36">
        <v>0</v>
      </c>
      <c r="E56" s="36">
        <v>0</v>
      </c>
      <c r="F56" s="36">
        <v>0</v>
      </c>
      <c r="G56" s="36">
        <v>0</v>
      </c>
      <c r="H56" s="36">
        <v>0</v>
      </c>
    </row>
    <row r="57" spans="1:8">
      <c r="B57" s="36">
        <v>0</v>
      </c>
      <c r="C57" s="36">
        <v>0</v>
      </c>
      <c r="D57" s="36">
        <v>0</v>
      </c>
      <c r="E57" s="36">
        <v>0</v>
      </c>
      <c r="F57" s="36">
        <v>0</v>
      </c>
      <c r="G57" s="36">
        <v>0</v>
      </c>
      <c r="H57" s="36">
        <v>0</v>
      </c>
    </row>
    <row r="58" spans="1:8" ht="27">
      <c r="A58" s="18" t="s">
        <v>31</v>
      </c>
      <c r="B58" s="36">
        <v>192459280.59999999</v>
      </c>
      <c r="C58" s="36">
        <v>378974935</v>
      </c>
      <c r="D58" s="36">
        <v>375238470.60000002</v>
      </c>
      <c r="E58" s="36">
        <v>374011073.34739727</v>
      </c>
      <c r="F58" s="36">
        <v>369883219.49178082</v>
      </c>
      <c r="G58" s="36">
        <v>365905137.30000001</v>
      </c>
      <c r="H58" s="36">
        <v>364685175.49808747</v>
      </c>
    </row>
    <row r="59" spans="1:8">
      <c r="B59" s="36">
        <v>0</v>
      </c>
      <c r="C59" s="36">
        <v>0</v>
      </c>
      <c r="D59" s="36">
        <v>0</v>
      </c>
      <c r="E59" s="36">
        <v>0</v>
      </c>
      <c r="F59" s="36">
        <v>0</v>
      </c>
      <c r="G59" s="36">
        <v>0</v>
      </c>
      <c r="H59" s="36">
        <v>0</v>
      </c>
    </row>
    <row r="60" spans="1:8">
      <c r="B60" s="36">
        <v>0</v>
      </c>
      <c r="C60" s="36">
        <v>0</v>
      </c>
      <c r="D60" s="36">
        <v>0</v>
      </c>
      <c r="E60" s="36">
        <v>0</v>
      </c>
      <c r="F60" s="36">
        <v>0</v>
      </c>
      <c r="G60" s="36">
        <v>0</v>
      </c>
      <c r="H60" s="36">
        <v>0</v>
      </c>
    </row>
    <row r="61" spans="1:8">
      <c r="B61" s="36">
        <v>0</v>
      </c>
      <c r="C61" s="36">
        <v>0</v>
      </c>
      <c r="D61" s="36">
        <v>0</v>
      </c>
      <c r="E61" s="36">
        <v>0</v>
      </c>
      <c r="F61" s="36">
        <v>0</v>
      </c>
      <c r="G61" s="36">
        <v>0</v>
      </c>
      <c r="H61" s="36">
        <v>0</v>
      </c>
    </row>
    <row r="62" spans="1:8">
      <c r="A62" s="19" t="s">
        <v>32</v>
      </c>
      <c r="B62" s="36">
        <v>0</v>
      </c>
      <c r="C62" s="36">
        <v>0</v>
      </c>
      <c r="D62" s="36">
        <v>0</v>
      </c>
      <c r="E62" s="36">
        <v>0</v>
      </c>
      <c r="F62" s="36">
        <v>0</v>
      </c>
      <c r="G62" s="36">
        <v>0</v>
      </c>
      <c r="H62" s="36">
        <v>0</v>
      </c>
    </row>
    <row r="63" spans="1:8">
      <c r="B63" s="36">
        <v>0</v>
      </c>
      <c r="C63" s="36">
        <v>0</v>
      </c>
      <c r="D63" s="36">
        <v>0</v>
      </c>
      <c r="E63" s="36">
        <v>0</v>
      </c>
      <c r="F63" s="36">
        <v>0</v>
      </c>
      <c r="G63" s="36">
        <v>0</v>
      </c>
      <c r="H63" s="36">
        <v>0</v>
      </c>
    </row>
    <row r="64" spans="1:8">
      <c r="B64" s="36">
        <v>0</v>
      </c>
      <c r="C64" s="36">
        <v>0</v>
      </c>
      <c r="D64" s="36">
        <v>0</v>
      </c>
      <c r="E64" s="36">
        <v>0</v>
      </c>
      <c r="F64" s="36">
        <v>0</v>
      </c>
      <c r="G64" s="36">
        <v>0</v>
      </c>
      <c r="H64" s="36">
        <v>0</v>
      </c>
    </row>
    <row r="65" spans="1:8">
      <c r="B65" s="36">
        <v>0</v>
      </c>
      <c r="C65" s="36">
        <v>0</v>
      </c>
      <c r="D65" s="36">
        <v>0</v>
      </c>
      <c r="E65" s="36">
        <v>0</v>
      </c>
      <c r="F65" s="36">
        <v>0</v>
      </c>
      <c r="G65" s="36">
        <v>0</v>
      </c>
      <c r="H65" s="36">
        <v>0</v>
      </c>
    </row>
    <row r="66" spans="1:8">
      <c r="B66" s="36">
        <v>0</v>
      </c>
      <c r="C66" s="36">
        <v>0</v>
      </c>
      <c r="D66" s="36">
        <v>0</v>
      </c>
      <c r="E66" s="36">
        <v>0</v>
      </c>
      <c r="F66" s="36">
        <v>0</v>
      </c>
      <c r="G66" s="36">
        <v>0</v>
      </c>
      <c r="H66" s="36">
        <v>0</v>
      </c>
    </row>
    <row r="67" spans="1:8" ht="27">
      <c r="A67" s="20" t="s">
        <v>33</v>
      </c>
      <c r="B67" s="36" t="s">
        <v>95</v>
      </c>
      <c r="C67" s="36" t="s">
        <v>88</v>
      </c>
      <c r="D67" s="36" t="s">
        <v>89</v>
      </c>
      <c r="E67" s="36" t="s">
        <v>90</v>
      </c>
      <c r="F67" s="36" t="s">
        <v>91</v>
      </c>
      <c r="G67" s="36" t="s">
        <v>92</v>
      </c>
      <c r="H67" s="36" t="s">
        <v>93</v>
      </c>
    </row>
    <row r="68" spans="1:8" s="40" customFormat="1" ht="13.2">
      <c r="A68" s="21" t="s">
        <v>34</v>
      </c>
      <c r="B68" s="36">
        <v>4319</v>
      </c>
      <c r="C68" s="36">
        <v>4355.5</v>
      </c>
      <c r="D68" s="36">
        <v>4392.1000000000004</v>
      </c>
      <c r="E68" s="36">
        <v>4428.6000000000004</v>
      </c>
      <c r="F68" s="36">
        <v>4465.1000000000004</v>
      </c>
      <c r="G68" s="36">
        <v>4501.6000000000004</v>
      </c>
      <c r="H68" s="36">
        <v>4538.2</v>
      </c>
    </row>
    <row r="69" spans="1:8">
      <c r="A69" s="22"/>
      <c r="B69" s="36">
        <v>0</v>
      </c>
      <c r="C69" s="36">
        <v>0</v>
      </c>
      <c r="D69" s="36">
        <v>0</v>
      </c>
      <c r="E69" s="36">
        <v>0</v>
      </c>
      <c r="F69" s="36">
        <v>0</v>
      </c>
      <c r="G69" s="36">
        <v>0</v>
      </c>
      <c r="H69" s="36">
        <v>0</v>
      </c>
    </row>
    <row r="70" spans="1:8">
      <c r="A70" s="9" t="s">
        <v>35</v>
      </c>
      <c r="B70" s="36">
        <v>0</v>
      </c>
      <c r="C70" s="36">
        <v>0</v>
      </c>
      <c r="D70" s="36">
        <v>0</v>
      </c>
      <c r="E70" s="36">
        <v>0</v>
      </c>
      <c r="F70" s="36">
        <v>0</v>
      </c>
      <c r="G70" s="36">
        <v>0</v>
      </c>
      <c r="H70" s="36">
        <v>0</v>
      </c>
    </row>
    <row r="71" spans="1:8">
      <c r="A71" s="9"/>
      <c r="B71" s="36">
        <v>0</v>
      </c>
      <c r="C71" s="36">
        <v>0</v>
      </c>
      <c r="D71" s="36">
        <v>0</v>
      </c>
      <c r="E71" s="36">
        <v>0</v>
      </c>
      <c r="F71" s="36">
        <v>0</v>
      </c>
      <c r="G71" s="36">
        <v>0</v>
      </c>
      <c r="H71" s="36">
        <v>0</v>
      </c>
    </row>
    <row r="72" spans="1:8">
      <c r="A72" s="9" t="s">
        <v>36</v>
      </c>
      <c r="B72" s="36">
        <v>0</v>
      </c>
      <c r="C72" s="36">
        <v>0</v>
      </c>
      <c r="D72" s="36">
        <v>0</v>
      </c>
      <c r="E72" s="36">
        <v>0</v>
      </c>
      <c r="F72" s="36">
        <v>0</v>
      </c>
      <c r="G72" s="36">
        <v>0</v>
      </c>
      <c r="H72" s="36">
        <v>0</v>
      </c>
    </row>
    <row r="73" spans="1:8" outlineLevel="1">
      <c r="A73" s="15" t="s">
        <v>37</v>
      </c>
      <c r="B73" s="36">
        <v>4883</v>
      </c>
      <c r="C73" s="36">
        <v>7224</v>
      </c>
      <c r="D73" s="36">
        <v>8646</v>
      </c>
      <c r="E73" s="36">
        <v>6858</v>
      </c>
      <c r="F73" s="36">
        <v>12488</v>
      </c>
      <c r="G73" s="36">
        <v>7123</v>
      </c>
      <c r="H73" s="36">
        <v>9016</v>
      </c>
    </row>
    <row r="74" spans="1:8" outlineLevel="1">
      <c r="A74" s="15" t="s">
        <v>38</v>
      </c>
      <c r="B74" s="36">
        <v>2056</v>
      </c>
      <c r="C74" s="36">
        <v>5428</v>
      </c>
      <c r="D74" s="36">
        <v>805</v>
      </c>
      <c r="E74" s="36">
        <v>2262</v>
      </c>
      <c r="F74" s="36">
        <v>5507</v>
      </c>
      <c r="G74" s="36">
        <v>3224</v>
      </c>
      <c r="H74" s="36">
        <v>3799</v>
      </c>
    </row>
    <row r="75" spans="1:8" outlineLevel="1">
      <c r="A75" s="15" t="s">
        <v>39</v>
      </c>
      <c r="B75" s="36">
        <v>24943</v>
      </c>
      <c r="C75" s="36">
        <v>27346</v>
      </c>
      <c r="D75" s="36">
        <v>30532</v>
      </c>
      <c r="E75" s="36">
        <v>30079</v>
      </c>
      <c r="F75" s="36">
        <v>34074</v>
      </c>
      <c r="G75" s="36">
        <v>41049</v>
      </c>
      <c r="H75" s="36">
        <v>44434</v>
      </c>
    </row>
    <row r="76" spans="1:8" outlineLevel="1">
      <c r="A76" s="15" t="s">
        <v>40</v>
      </c>
      <c r="B76" s="36">
        <v>35707</v>
      </c>
      <c r="C76" s="36">
        <v>29091</v>
      </c>
      <c r="D76" s="36">
        <v>26140</v>
      </c>
      <c r="E76" s="36">
        <v>29160</v>
      </c>
      <c r="F76" s="36">
        <v>30262</v>
      </c>
      <c r="G76" s="36">
        <v>36897</v>
      </c>
      <c r="H76" s="36">
        <v>31481</v>
      </c>
    </row>
    <row r="77" spans="1:8" outlineLevel="1">
      <c r="A77" s="15" t="s">
        <v>41</v>
      </c>
      <c r="B77" s="36">
        <v>4302</v>
      </c>
      <c r="C77" s="36">
        <v>9994</v>
      </c>
      <c r="D77" s="36">
        <v>10163</v>
      </c>
      <c r="E77" s="36">
        <v>13075</v>
      </c>
      <c r="F77" s="36">
        <v>8061</v>
      </c>
      <c r="G77" s="36">
        <v>3329</v>
      </c>
      <c r="H77" s="36">
        <v>2665</v>
      </c>
    </row>
    <row r="78" spans="1:8" outlineLevel="1">
      <c r="A78" s="15" t="s">
        <v>42</v>
      </c>
      <c r="B78" s="36">
        <v>6686</v>
      </c>
      <c r="C78" s="36">
        <v>5157</v>
      </c>
      <c r="D78" s="36">
        <v>5732</v>
      </c>
      <c r="E78" s="36">
        <v>6583</v>
      </c>
      <c r="F78" s="36">
        <v>7736</v>
      </c>
      <c r="G78" s="36">
        <v>8905</v>
      </c>
      <c r="H78" s="36">
        <v>9143</v>
      </c>
    </row>
    <row r="79" spans="1:8" outlineLevel="1">
      <c r="A79" s="15" t="s">
        <v>43</v>
      </c>
      <c r="B79" s="36">
        <v>37</v>
      </c>
      <c r="C79" s="36">
        <v>1853</v>
      </c>
      <c r="D79" s="36">
        <v>8</v>
      </c>
      <c r="E79" s="36">
        <v>19</v>
      </c>
      <c r="F79" s="36">
        <v>11</v>
      </c>
      <c r="G79" s="36">
        <v>8</v>
      </c>
      <c r="H79" s="36">
        <v>151</v>
      </c>
    </row>
    <row r="80" spans="1:8" outlineLevel="1">
      <c r="A80" s="15" t="s">
        <v>44</v>
      </c>
      <c r="B80" s="36">
        <v>2610</v>
      </c>
      <c r="C80" s="36">
        <v>6038</v>
      </c>
      <c r="D80" s="36">
        <v>8211</v>
      </c>
      <c r="E80" s="36">
        <v>11244</v>
      </c>
      <c r="F80" s="36">
        <v>10171</v>
      </c>
      <c r="G80" s="36">
        <v>9735</v>
      </c>
      <c r="H80" s="36">
        <v>12295</v>
      </c>
    </row>
    <row r="81" spans="1:8">
      <c r="A81" s="9" t="s">
        <v>45</v>
      </c>
      <c r="B81" s="36">
        <v>81224</v>
      </c>
      <c r="C81" s="36">
        <v>92131</v>
      </c>
      <c r="D81" s="36">
        <v>90237</v>
      </c>
      <c r="E81" s="36">
        <v>99280</v>
      </c>
      <c r="F81" s="36">
        <v>108310</v>
      </c>
      <c r="G81" s="36">
        <v>110270</v>
      </c>
      <c r="H81" s="36">
        <v>112984</v>
      </c>
    </row>
    <row r="82" spans="1:8">
      <c r="A82" s="9"/>
      <c r="B82" s="36">
        <v>0</v>
      </c>
      <c r="C82" s="36">
        <v>0</v>
      </c>
      <c r="D82" s="36">
        <v>0</v>
      </c>
      <c r="E82" s="36">
        <v>0</v>
      </c>
      <c r="F82" s="36">
        <v>0</v>
      </c>
      <c r="G82" s="36">
        <v>0</v>
      </c>
      <c r="H82" s="36">
        <v>0</v>
      </c>
    </row>
    <row r="83" spans="1:8">
      <c r="A83" s="9" t="s">
        <v>46</v>
      </c>
      <c r="B83" s="36">
        <v>0</v>
      </c>
      <c r="C83" s="36">
        <v>0</v>
      </c>
      <c r="D83" s="36">
        <v>0</v>
      </c>
      <c r="E83" s="36">
        <v>0</v>
      </c>
      <c r="F83" s="36">
        <v>0</v>
      </c>
      <c r="G83" s="36">
        <v>0</v>
      </c>
      <c r="H83" s="36">
        <v>0</v>
      </c>
    </row>
    <row r="84" spans="1:8" outlineLevel="1">
      <c r="A84" s="15" t="s">
        <v>38</v>
      </c>
      <c r="B84" s="36">
        <v>0</v>
      </c>
      <c r="C84" s="36">
        <v>0</v>
      </c>
      <c r="D84" s="36">
        <v>348</v>
      </c>
      <c r="E84" s="36">
        <v>719</v>
      </c>
      <c r="F84" s="36">
        <v>1232</v>
      </c>
      <c r="G84" s="36">
        <v>1334</v>
      </c>
      <c r="H84" s="36">
        <v>2248</v>
      </c>
    </row>
    <row r="85" spans="1:8" outlineLevel="1">
      <c r="A85" s="15" t="s">
        <v>47</v>
      </c>
      <c r="B85" s="36">
        <v>2667</v>
      </c>
      <c r="C85" s="36">
        <v>798</v>
      </c>
      <c r="D85" s="36">
        <v>865</v>
      </c>
      <c r="E85" s="36">
        <v>883</v>
      </c>
      <c r="F85" s="36">
        <v>1332</v>
      </c>
      <c r="G85" s="36">
        <v>988</v>
      </c>
      <c r="H85" s="36">
        <v>1026</v>
      </c>
    </row>
    <row r="86" spans="1:8" outlineLevel="1">
      <c r="A86" s="15" t="s">
        <v>48</v>
      </c>
      <c r="B86" s="36">
        <v>4131</v>
      </c>
      <c r="C86" s="36">
        <v>4017</v>
      </c>
      <c r="D86" s="36">
        <v>2462</v>
      </c>
      <c r="E86" s="36">
        <v>1845</v>
      </c>
      <c r="F86" s="36">
        <v>1983</v>
      </c>
      <c r="G86" s="36">
        <v>2583</v>
      </c>
      <c r="H86" s="36">
        <v>1600</v>
      </c>
    </row>
    <row r="87" spans="1:8" outlineLevel="1">
      <c r="A87" s="15" t="s">
        <v>49</v>
      </c>
      <c r="B87" s="36">
        <v>3423</v>
      </c>
      <c r="C87" s="36">
        <v>2632</v>
      </c>
      <c r="D87" s="36">
        <v>2802</v>
      </c>
      <c r="E87" s="36">
        <v>3903</v>
      </c>
      <c r="F87" s="36">
        <v>3680</v>
      </c>
      <c r="G87" s="36">
        <v>3277</v>
      </c>
      <c r="H87" s="36">
        <v>3369</v>
      </c>
    </row>
    <row r="88" spans="1:8" outlineLevel="1">
      <c r="A88" s="15" t="s">
        <v>50</v>
      </c>
      <c r="B88" s="36">
        <v>11600</v>
      </c>
      <c r="C88" s="36">
        <v>11650</v>
      </c>
      <c r="D88" s="36">
        <v>11938</v>
      </c>
      <c r="E88" s="36">
        <v>12135</v>
      </c>
      <c r="F88" s="36">
        <v>12080</v>
      </c>
      <c r="G88" s="36">
        <v>11595</v>
      </c>
      <c r="H88" s="36">
        <v>11224</v>
      </c>
    </row>
    <row r="89" spans="1:8" outlineLevel="1">
      <c r="A89" s="15" t="s">
        <v>51</v>
      </c>
      <c r="B89" s="36">
        <v>0</v>
      </c>
      <c r="C89" s="36">
        <v>0</v>
      </c>
      <c r="D89" s="36">
        <v>7994</v>
      </c>
      <c r="E89" s="36">
        <v>7633</v>
      </c>
      <c r="F89" s="36">
        <v>7636</v>
      </c>
      <c r="G89" s="36">
        <v>7560</v>
      </c>
      <c r="H89" s="36">
        <v>7886</v>
      </c>
    </row>
    <row r="90" spans="1:8" outlineLevel="1">
      <c r="A90" s="15" t="s">
        <v>52</v>
      </c>
      <c r="B90" s="36">
        <v>3884</v>
      </c>
      <c r="C90" s="36">
        <v>3834</v>
      </c>
      <c r="D90" s="36">
        <v>3850</v>
      </c>
      <c r="E90" s="36">
        <v>3948</v>
      </c>
      <c r="F90" s="36">
        <v>3935</v>
      </c>
      <c r="G90" s="36">
        <v>4006</v>
      </c>
      <c r="H90" s="36">
        <v>3989</v>
      </c>
    </row>
    <row r="91" spans="1:8" outlineLevel="1">
      <c r="A91" s="15" t="s">
        <v>53</v>
      </c>
      <c r="B91" s="36">
        <v>12</v>
      </c>
      <c r="C91" s="36">
        <v>179</v>
      </c>
      <c r="D91" s="36">
        <v>283</v>
      </c>
      <c r="E91" s="36">
        <v>480</v>
      </c>
      <c r="F91" s="36">
        <v>1101</v>
      </c>
      <c r="G91" s="36">
        <v>867</v>
      </c>
      <c r="H91" s="36">
        <v>510</v>
      </c>
    </row>
    <row r="92" spans="1:8" outlineLevel="1">
      <c r="A92" s="15" t="s">
        <v>40</v>
      </c>
      <c r="B92" s="36">
        <v>301</v>
      </c>
      <c r="C92" s="36">
        <v>239</v>
      </c>
      <c r="D92" s="36">
        <v>216</v>
      </c>
      <c r="E92" s="36">
        <v>213</v>
      </c>
      <c r="F92" s="36">
        <v>223</v>
      </c>
      <c r="G92" s="36">
        <v>266</v>
      </c>
      <c r="H92" s="36">
        <v>281</v>
      </c>
    </row>
    <row r="93" spans="1:8" outlineLevel="1">
      <c r="A93" s="15" t="s">
        <v>39</v>
      </c>
      <c r="B93" s="36">
        <v>94</v>
      </c>
      <c r="C93" s="36">
        <v>95</v>
      </c>
      <c r="D93" s="36">
        <v>74</v>
      </c>
      <c r="E93" s="36">
        <v>55</v>
      </c>
      <c r="F93" s="36">
        <v>145</v>
      </c>
      <c r="G93" s="36">
        <v>149</v>
      </c>
      <c r="H93" s="36">
        <v>127</v>
      </c>
    </row>
    <row r="94" spans="1:8" outlineLevel="1">
      <c r="A94" s="15" t="s">
        <v>42</v>
      </c>
      <c r="B94" s="36">
        <v>227</v>
      </c>
      <c r="C94" s="36">
        <v>391</v>
      </c>
      <c r="D94" s="36">
        <v>324</v>
      </c>
      <c r="E94" s="36">
        <v>273</v>
      </c>
      <c r="F94" s="36">
        <v>55</v>
      </c>
      <c r="G94" s="36">
        <v>199</v>
      </c>
      <c r="H94" s="36">
        <v>16</v>
      </c>
    </row>
    <row r="95" spans="1:8" outlineLevel="1">
      <c r="A95" s="23" t="s">
        <v>54</v>
      </c>
      <c r="B95" s="36">
        <v>846</v>
      </c>
      <c r="C95" s="36">
        <v>1087</v>
      </c>
      <c r="D95" s="36">
        <v>1620</v>
      </c>
      <c r="E95" s="36">
        <v>1514</v>
      </c>
      <c r="F95" s="36">
        <v>1922</v>
      </c>
      <c r="G95" s="36">
        <v>2675</v>
      </c>
      <c r="H95" s="36">
        <v>3312</v>
      </c>
    </row>
    <row r="96" spans="1:8">
      <c r="A96" s="24" t="s">
        <v>55</v>
      </c>
      <c r="B96" s="36">
        <v>27185</v>
      </c>
      <c r="C96" s="36">
        <v>24922</v>
      </c>
      <c r="D96" s="36">
        <v>32776</v>
      </c>
      <c r="E96" s="36">
        <v>33601</v>
      </c>
      <c r="F96" s="36">
        <v>35324</v>
      </c>
      <c r="G96" s="36">
        <v>35499</v>
      </c>
      <c r="H96" s="36">
        <v>35588</v>
      </c>
    </row>
    <row r="97" spans="1:8">
      <c r="B97" s="36">
        <v>0</v>
      </c>
      <c r="C97" s="36">
        <v>0</v>
      </c>
      <c r="D97" s="36">
        <v>0</v>
      </c>
      <c r="E97" s="36">
        <v>0</v>
      </c>
      <c r="F97" s="36">
        <v>0</v>
      </c>
      <c r="G97" s="36">
        <v>0</v>
      </c>
      <c r="H97" s="36">
        <v>0</v>
      </c>
    </row>
    <row r="98" spans="1:8">
      <c r="A98" s="25" t="s">
        <v>56</v>
      </c>
      <c r="B98" s="36">
        <v>108409</v>
      </c>
      <c r="C98" s="36">
        <v>117053</v>
      </c>
      <c r="D98" s="36">
        <v>123013</v>
      </c>
      <c r="E98" s="36">
        <v>132881</v>
      </c>
      <c r="F98" s="36">
        <v>143634</v>
      </c>
      <c r="G98" s="36">
        <v>145769</v>
      </c>
      <c r="H98" s="36">
        <v>148572</v>
      </c>
    </row>
    <row r="99" spans="1:8">
      <c r="A99" s="9"/>
      <c r="B99" s="36">
        <v>0</v>
      </c>
      <c r="C99" s="36">
        <v>0</v>
      </c>
      <c r="D99" s="36">
        <v>0</v>
      </c>
      <c r="E99" s="36">
        <v>0</v>
      </c>
      <c r="F99" s="36">
        <v>0</v>
      </c>
      <c r="G99" s="36">
        <v>0</v>
      </c>
      <c r="H99" s="36">
        <v>0</v>
      </c>
    </row>
    <row r="100" spans="1:8" ht="27">
      <c r="A100" s="26" t="s">
        <v>57</v>
      </c>
      <c r="B100" s="36">
        <v>0</v>
      </c>
      <c r="C100" s="36">
        <v>0</v>
      </c>
      <c r="D100" s="36">
        <v>0</v>
      </c>
      <c r="E100" s="36">
        <v>0</v>
      </c>
      <c r="F100" s="36">
        <v>0</v>
      </c>
      <c r="G100" s="36">
        <v>0</v>
      </c>
      <c r="H100" s="36">
        <v>0</v>
      </c>
    </row>
    <row r="101" spans="1:8">
      <c r="A101" s="9"/>
      <c r="B101" s="36">
        <v>0</v>
      </c>
      <c r="C101" s="36">
        <v>0</v>
      </c>
      <c r="D101" s="36">
        <v>0</v>
      </c>
      <c r="E101" s="36">
        <v>0</v>
      </c>
      <c r="F101" s="36">
        <v>0</v>
      </c>
      <c r="G101" s="36">
        <v>0</v>
      </c>
      <c r="H101" s="36">
        <v>0</v>
      </c>
    </row>
    <row r="102" spans="1:8">
      <c r="A102" s="9" t="s">
        <v>58</v>
      </c>
      <c r="B102" s="36">
        <v>0</v>
      </c>
      <c r="C102" s="36">
        <v>0</v>
      </c>
      <c r="D102" s="36">
        <v>0</v>
      </c>
      <c r="E102" s="36">
        <v>0</v>
      </c>
      <c r="F102" s="36">
        <v>0</v>
      </c>
      <c r="G102" s="36">
        <v>0</v>
      </c>
      <c r="H102" s="36">
        <v>0</v>
      </c>
    </row>
    <row r="103" spans="1:8">
      <c r="A103" s="9" t="s">
        <v>59</v>
      </c>
      <c r="B103" s="36">
        <v>0</v>
      </c>
      <c r="C103" s="36">
        <v>0</v>
      </c>
      <c r="D103" s="36">
        <v>0</v>
      </c>
      <c r="E103" s="36">
        <v>0</v>
      </c>
      <c r="F103" s="36">
        <v>0</v>
      </c>
      <c r="G103" s="36">
        <v>0</v>
      </c>
      <c r="H103" s="36">
        <v>0</v>
      </c>
    </row>
    <row r="104" spans="1:8" outlineLevel="1">
      <c r="A104" s="12" t="s">
        <v>60</v>
      </c>
      <c r="B104" s="36">
        <v>5094</v>
      </c>
      <c r="C104" s="36">
        <v>6292</v>
      </c>
      <c r="D104" s="36">
        <v>6740</v>
      </c>
      <c r="E104" s="36">
        <v>7860</v>
      </c>
      <c r="F104" s="36">
        <v>8045</v>
      </c>
      <c r="G104" s="36">
        <v>10515</v>
      </c>
      <c r="H104" s="36">
        <v>9981</v>
      </c>
    </row>
    <row r="105" spans="1:8" outlineLevel="1">
      <c r="A105" s="12" t="s">
        <v>61</v>
      </c>
      <c r="B105" s="36">
        <v>193</v>
      </c>
      <c r="C105" s="36">
        <v>18</v>
      </c>
      <c r="D105" s="36">
        <v>0</v>
      </c>
      <c r="E105" s="36">
        <v>0</v>
      </c>
      <c r="F105" s="36">
        <v>0</v>
      </c>
      <c r="G105" s="36">
        <v>0</v>
      </c>
      <c r="H105" s="36">
        <v>0</v>
      </c>
    </row>
    <row r="106" spans="1:8" ht="27" outlineLevel="1">
      <c r="A106" s="27" t="s">
        <v>62</v>
      </c>
      <c r="B106" s="36">
        <v>0</v>
      </c>
      <c r="C106" s="36">
        <v>0</v>
      </c>
      <c r="D106" s="36">
        <v>0</v>
      </c>
      <c r="E106" s="36">
        <v>0</v>
      </c>
      <c r="F106" s="36">
        <v>0</v>
      </c>
      <c r="G106" s="36">
        <v>0</v>
      </c>
      <c r="H106" s="36">
        <v>0</v>
      </c>
    </row>
    <row r="107" spans="1:8" outlineLevel="1">
      <c r="A107" s="27" t="s">
        <v>63</v>
      </c>
      <c r="B107" s="36">
        <v>0</v>
      </c>
      <c r="C107" s="36">
        <v>0</v>
      </c>
      <c r="D107" s="36">
        <v>1268</v>
      </c>
      <c r="E107" s="36">
        <v>1292</v>
      </c>
      <c r="F107" s="36">
        <v>1450</v>
      </c>
      <c r="G107" s="36">
        <v>1485</v>
      </c>
      <c r="H107" s="36">
        <v>1505</v>
      </c>
    </row>
    <row r="108" spans="1:8" outlineLevel="1">
      <c r="A108" s="15" t="s">
        <v>64</v>
      </c>
      <c r="B108" s="36">
        <v>3901</v>
      </c>
      <c r="C108" s="36">
        <v>4885</v>
      </c>
      <c r="D108" s="36">
        <v>6100</v>
      </c>
      <c r="E108" s="36">
        <v>6150</v>
      </c>
      <c r="F108" s="36">
        <v>7687</v>
      </c>
      <c r="G108" s="36">
        <v>9068</v>
      </c>
      <c r="H108" s="36">
        <v>8362</v>
      </c>
    </row>
    <row r="109" spans="1:8" outlineLevel="1">
      <c r="A109" s="15" t="s">
        <v>65</v>
      </c>
      <c r="B109" s="36">
        <v>2032</v>
      </c>
      <c r="C109" s="36">
        <v>2392</v>
      </c>
      <c r="D109" s="36">
        <v>2915</v>
      </c>
      <c r="E109" s="36">
        <v>3650</v>
      </c>
      <c r="F109" s="36">
        <v>3635</v>
      </c>
      <c r="G109" s="36">
        <v>3843</v>
      </c>
      <c r="H109" s="36">
        <v>3640</v>
      </c>
    </row>
    <row r="110" spans="1:8" outlineLevel="1">
      <c r="A110" s="15" t="s">
        <v>66</v>
      </c>
      <c r="B110" s="36">
        <v>2018</v>
      </c>
      <c r="C110" s="36">
        <v>2356</v>
      </c>
      <c r="D110" s="36">
        <v>2749</v>
      </c>
      <c r="E110" s="36">
        <v>3498</v>
      </c>
      <c r="F110" s="36">
        <v>3810</v>
      </c>
      <c r="G110" s="36">
        <v>4065</v>
      </c>
      <c r="H110" s="36">
        <v>4519</v>
      </c>
    </row>
    <row r="111" spans="1:8" outlineLevel="1">
      <c r="A111" s="15" t="s">
        <v>67</v>
      </c>
      <c r="B111" s="36">
        <v>240</v>
      </c>
      <c r="C111" s="36">
        <v>239</v>
      </c>
      <c r="D111" s="36">
        <v>293</v>
      </c>
      <c r="E111" s="36">
        <v>1394</v>
      </c>
      <c r="F111" s="36">
        <v>1411</v>
      </c>
      <c r="G111" s="36">
        <v>345</v>
      </c>
      <c r="H111" s="36">
        <v>140</v>
      </c>
    </row>
    <row r="112" spans="1:8" outlineLevel="1">
      <c r="A112" s="15" t="s">
        <v>68</v>
      </c>
      <c r="B112" s="36">
        <v>1421</v>
      </c>
      <c r="C112" s="36">
        <v>2667</v>
      </c>
      <c r="D112" s="36">
        <v>3712</v>
      </c>
      <c r="E112" s="36">
        <v>6243</v>
      </c>
      <c r="F112" s="36">
        <v>7921</v>
      </c>
      <c r="G112" s="36">
        <v>9345</v>
      </c>
      <c r="H112" s="36">
        <v>11433</v>
      </c>
    </row>
    <row r="113" spans="1:8" outlineLevel="1">
      <c r="A113" s="15" t="s">
        <v>69</v>
      </c>
      <c r="B113" s="36">
        <v>2929</v>
      </c>
      <c r="C113" s="36">
        <v>3235</v>
      </c>
      <c r="D113" s="36">
        <v>3283</v>
      </c>
      <c r="E113" s="36">
        <v>4068</v>
      </c>
      <c r="F113" s="36">
        <v>8392</v>
      </c>
      <c r="G113" s="36">
        <v>4892</v>
      </c>
      <c r="H113" s="36">
        <v>6524</v>
      </c>
    </row>
    <row r="114" spans="1:8">
      <c r="A114" s="9" t="s">
        <v>70</v>
      </c>
      <c r="B114" s="36">
        <v>17828</v>
      </c>
      <c r="C114" s="36">
        <v>22084</v>
      </c>
      <c r="D114" s="36">
        <v>27060</v>
      </c>
      <c r="E114" s="36">
        <v>34155</v>
      </c>
      <c r="F114" s="36">
        <v>42351</v>
      </c>
      <c r="G114" s="36">
        <v>43558</v>
      </c>
      <c r="H114" s="36">
        <v>46104</v>
      </c>
    </row>
    <row r="115" spans="1:8">
      <c r="A115" s="9"/>
      <c r="B115" s="36">
        <v>0</v>
      </c>
      <c r="C115" s="36">
        <v>0</v>
      </c>
      <c r="D115" s="36">
        <v>0</v>
      </c>
      <c r="E115" s="36">
        <v>0</v>
      </c>
      <c r="F115" s="36">
        <v>0</v>
      </c>
      <c r="G115" s="36">
        <v>0</v>
      </c>
      <c r="H115" s="36">
        <v>0</v>
      </c>
    </row>
    <row r="116" spans="1:8">
      <c r="A116" s="9" t="s">
        <v>71</v>
      </c>
      <c r="B116" s="36">
        <v>0</v>
      </c>
      <c r="C116" s="36">
        <v>0</v>
      </c>
      <c r="D116" s="36">
        <v>0</v>
      </c>
      <c r="E116" s="36">
        <v>0</v>
      </c>
      <c r="F116" s="36">
        <v>0</v>
      </c>
      <c r="G116" s="36">
        <v>0</v>
      </c>
      <c r="H116" s="36">
        <v>0</v>
      </c>
    </row>
    <row r="117" spans="1:8" outlineLevel="1">
      <c r="A117" s="15" t="s">
        <v>72</v>
      </c>
      <c r="B117" s="36">
        <v>54</v>
      </c>
      <c r="C117" s="36">
        <v>44</v>
      </c>
      <c r="D117" s="36">
        <v>0</v>
      </c>
      <c r="E117" s="36">
        <v>0</v>
      </c>
      <c r="F117" s="36">
        <v>0</v>
      </c>
      <c r="G117" s="36">
        <v>0</v>
      </c>
      <c r="H117" s="36">
        <v>0</v>
      </c>
    </row>
    <row r="118" spans="1:8" outlineLevel="1">
      <c r="A118" s="15" t="s">
        <v>63</v>
      </c>
      <c r="B118" s="36">
        <v>0</v>
      </c>
      <c r="C118" s="36">
        <v>0</v>
      </c>
      <c r="D118" s="36">
        <v>6906</v>
      </c>
      <c r="E118" s="36">
        <v>6503</v>
      </c>
      <c r="F118" s="36">
        <v>6368</v>
      </c>
      <c r="G118" s="36">
        <v>6203</v>
      </c>
      <c r="H118" s="36">
        <v>6516</v>
      </c>
    </row>
    <row r="119" spans="1:8" outlineLevel="1">
      <c r="A119" s="15" t="s">
        <v>73</v>
      </c>
      <c r="B119" s="36">
        <v>503</v>
      </c>
      <c r="C119" s="36">
        <v>287</v>
      </c>
      <c r="D119" s="36">
        <v>291</v>
      </c>
      <c r="E119" s="36">
        <v>280</v>
      </c>
      <c r="F119" s="36">
        <v>572</v>
      </c>
      <c r="G119" s="36">
        <v>353</v>
      </c>
      <c r="H119" s="36">
        <v>365</v>
      </c>
    </row>
    <row r="120" spans="1:8" outlineLevel="1">
      <c r="A120" s="15" t="s">
        <v>74</v>
      </c>
      <c r="B120" s="36">
        <v>503</v>
      </c>
      <c r="C120" s="36">
        <v>844</v>
      </c>
      <c r="D120" s="36">
        <v>697</v>
      </c>
      <c r="E120" s="36">
        <v>1197</v>
      </c>
      <c r="F120" s="36">
        <v>1110</v>
      </c>
      <c r="G120" s="36">
        <v>1003</v>
      </c>
      <c r="H120" s="36">
        <v>482</v>
      </c>
    </row>
    <row r="121" spans="1:8" outlineLevel="1">
      <c r="A121" s="15" t="s">
        <v>75</v>
      </c>
      <c r="B121" s="36">
        <v>290</v>
      </c>
      <c r="C121" s="36">
        <v>330</v>
      </c>
      <c r="D121" s="36">
        <v>417</v>
      </c>
      <c r="E121" s="36">
        <v>749</v>
      </c>
      <c r="F121" s="36">
        <v>677</v>
      </c>
      <c r="G121" s="36">
        <v>536</v>
      </c>
      <c r="H121" s="36">
        <v>686</v>
      </c>
    </row>
    <row r="122" spans="1:8" outlineLevel="1">
      <c r="A122" s="15" t="s">
        <v>67</v>
      </c>
      <c r="B122" s="36">
        <v>26</v>
      </c>
      <c r="C122" s="36">
        <v>0</v>
      </c>
      <c r="D122" s="36">
        <v>0</v>
      </c>
      <c r="E122" s="36">
        <v>0</v>
      </c>
      <c r="F122" s="36">
        <v>0</v>
      </c>
      <c r="G122" s="36">
        <v>0</v>
      </c>
      <c r="H122" s="36">
        <v>0</v>
      </c>
    </row>
    <row r="123" spans="1:8" outlineLevel="1">
      <c r="A123" s="15" t="s">
        <v>76</v>
      </c>
      <c r="B123" s="36">
        <v>1170</v>
      </c>
      <c r="C123" s="36">
        <v>1042</v>
      </c>
      <c r="D123" s="36">
        <v>779</v>
      </c>
      <c r="E123" s="36">
        <v>767</v>
      </c>
      <c r="F123" s="36">
        <v>590</v>
      </c>
      <c r="G123" s="36">
        <v>792</v>
      </c>
      <c r="H123" s="36">
        <v>977</v>
      </c>
    </row>
    <row r="124" spans="1:8" outlineLevel="1">
      <c r="A124" s="15" t="s">
        <v>77</v>
      </c>
      <c r="B124" s="36">
        <v>392</v>
      </c>
      <c r="C124" s="36">
        <v>413</v>
      </c>
      <c r="D124" s="36">
        <v>0</v>
      </c>
      <c r="E124" s="36">
        <v>0</v>
      </c>
      <c r="F124" s="36">
        <v>0</v>
      </c>
      <c r="G124" s="36">
        <v>0</v>
      </c>
      <c r="H124" s="36">
        <v>0</v>
      </c>
    </row>
    <row r="125" spans="1:8">
      <c r="A125" s="9" t="s">
        <v>78</v>
      </c>
      <c r="B125" s="36">
        <v>2938</v>
      </c>
      <c r="C125" s="36">
        <v>2960</v>
      </c>
      <c r="D125" s="36">
        <v>9090</v>
      </c>
      <c r="E125" s="36">
        <v>9496</v>
      </c>
      <c r="F125" s="36">
        <v>9317</v>
      </c>
      <c r="G125" s="36">
        <v>8887</v>
      </c>
      <c r="H125" s="36">
        <v>9026</v>
      </c>
    </row>
    <row r="126" spans="1:8">
      <c r="A126" s="15"/>
      <c r="B126" s="36">
        <v>0</v>
      </c>
      <c r="C126" s="36">
        <v>0</v>
      </c>
      <c r="D126" s="36">
        <v>0</v>
      </c>
      <c r="E126" s="36">
        <v>0</v>
      </c>
      <c r="F126" s="36">
        <v>0</v>
      </c>
      <c r="G126" s="36">
        <v>0</v>
      </c>
      <c r="H126" s="36">
        <v>0</v>
      </c>
    </row>
    <row r="127" spans="1:8">
      <c r="A127" s="9" t="s">
        <v>79</v>
      </c>
      <c r="B127" s="36">
        <v>20766</v>
      </c>
      <c r="C127" s="36">
        <v>25044</v>
      </c>
      <c r="D127" s="36">
        <v>36150</v>
      </c>
      <c r="E127" s="36">
        <v>43651</v>
      </c>
      <c r="F127" s="36">
        <v>51668</v>
      </c>
      <c r="G127" s="36">
        <v>52445</v>
      </c>
      <c r="H127" s="36">
        <v>55130</v>
      </c>
    </row>
    <row r="128" spans="1:8">
      <c r="B128" s="36">
        <v>0</v>
      </c>
      <c r="C128" s="36">
        <v>0</v>
      </c>
      <c r="D128" s="36">
        <v>0</v>
      </c>
      <c r="E128" s="36">
        <v>0</v>
      </c>
      <c r="F128" s="36">
        <v>0</v>
      </c>
      <c r="G128" s="36">
        <v>0</v>
      </c>
      <c r="H128" s="36">
        <v>0</v>
      </c>
    </row>
    <row r="129" spans="1:8">
      <c r="A129" s="28" t="s">
        <v>80</v>
      </c>
      <c r="B129" s="36">
        <v>0</v>
      </c>
      <c r="C129" s="36">
        <v>0</v>
      </c>
      <c r="D129" s="36">
        <v>0</v>
      </c>
      <c r="E129" s="36">
        <v>0</v>
      </c>
      <c r="F129" s="36">
        <v>0</v>
      </c>
      <c r="G129" s="36">
        <v>0</v>
      </c>
      <c r="H129" s="36">
        <v>0</v>
      </c>
    </row>
    <row r="130" spans="1:8">
      <c r="A130" s="11" t="s">
        <v>81</v>
      </c>
      <c r="B130" s="36">
        <v>191</v>
      </c>
      <c r="C130" s="36">
        <v>375</v>
      </c>
      <c r="D130" s="36">
        <v>375</v>
      </c>
      <c r="E130" s="36">
        <v>370</v>
      </c>
      <c r="F130" s="36">
        <v>366</v>
      </c>
      <c r="G130" s="36">
        <v>366</v>
      </c>
      <c r="H130" s="36">
        <v>362</v>
      </c>
    </row>
    <row r="131" spans="1:8">
      <c r="A131" s="11" t="s">
        <v>82</v>
      </c>
      <c r="B131" s="36">
        <v>0</v>
      </c>
      <c r="C131" s="36">
        <v>0</v>
      </c>
      <c r="D131" s="36">
        <v>0</v>
      </c>
      <c r="E131" s="36">
        <v>0</v>
      </c>
      <c r="F131" s="36">
        <v>0</v>
      </c>
      <c r="G131" s="36">
        <v>0</v>
      </c>
      <c r="H131" s="36">
        <v>0</v>
      </c>
    </row>
    <row r="132" spans="1:8">
      <c r="A132" s="11" t="s">
        <v>83</v>
      </c>
      <c r="B132" s="36">
        <v>2796</v>
      </c>
      <c r="C132" s="36">
        <v>2566</v>
      </c>
      <c r="D132" s="36">
        <v>3933</v>
      </c>
      <c r="E132" s="36">
        <v>5440</v>
      </c>
      <c r="F132" s="36">
        <v>9844</v>
      </c>
      <c r="G132" s="36">
        <v>14582</v>
      </c>
      <c r="H132" s="36">
        <v>19324</v>
      </c>
    </row>
    <row r="133" spans="1:8">
      <c r="A133" s="11" t="s">
        <v>84</v>
      </c>
      <c r="B133" s="36">
        <v>84254</v>
      </c>
      <c r="C133" s="36">
        <v>88615</v>
      </c>
      <c r="D133" s="36">
        <v>81932</v>
      </c>
      <c r="E133" s="36">
        <v>82745</v>
      </c>
      <c r="F133" s="36">
        <v>81049</v>
      </c>
      <c r="G133" s="36">
        <v>77594</v>
      </c>
      <c r="H133" s="36">
        <v>72926</v>
      </c>
    </row>
    <row r="134" spans="1:8">
      <c r="A134" s="9" t="s">
        <v>85</v>
      </c>
      <c r="B134" s="36">
        <v>87241</v>
      </c>
      <c r="C134" s="36">
        <v>91556</v>
      </c>
      <c r="D134" s="36">
        <v>86240</v>
      </c>
      <c r="E134" s="36">
        <v>88555</v>
      </c>
      <c r="F134" s="36">
        <v>91259</v>
      </c>
      <c r="G134" s="36">
        <v>92542</v>
      </c>
      <c r="H134" s="36">
        <v>92612</v>
      </c>
    </row>
    <row r="135" spans="1:8">
      <c r="B135" s="36">
        <v>0</v>
      </c>
      <c r="C135" s="36">
        <v>0</v>
      </c>
      <c r="D135" s="36">
        <v>0</v>
      </c>
      <c r="E135" s="36">
        <v>0</v>
      </c>
      <c r="F135" s="36">
        <v>0</v>
      </c>
      <c r="G135" s="36">
        <v>0</v>
      </c>
      <c r="H135" s="36">
        <v>0</v>
      </c>
    </row>
    <row r="136" spans="1:8">
      <c r="A136" s="29" t="s">
        <v>86</v>
      </c>
      <c r="B136" s="36">
        <v>402</v>
      </c>
      <c r="C136" s="36">
        <v>453</v>
      </c>
      <c r="D136" s="36">
        <v>623</v>
      </c>
      <c r="E136" s="36">
        <v>675</v>
      </c>
      <c r="F136" s="36">
        <v>707</v>
      </c>
      <c r="G136" s="36">
        <v>782</v>
      </c>
      <c r="H136" s="36">
        <v>830</v>
      </c>
    </row>
    <row r="137" spans="1:8">
      <c r="B137" s="36">
        <v>0</v>
      </c>
      <c r="C137" s="36">
        <v>0</v>
      </c>
      <c r="D137" s="36">
        <v>0</v>
      </c>
      <c r="E137" s="36">
        <v>0</v>
      </c>
      <c r="F137" s="36">
        <v>0</v>
      </c>
      <c r="G137" s="36">
        <v>0</v>
      </c>
      <c r="H137" s="36">
        <v>0</v>
      </c>
    </row>
    <row r="138" spans="1:8">
      <c r="B138" s="36">
        <v>0</v>
      </c>
      <c r="C138" s="36">
        <v>0</v>
      </c>
      <c r="D138" s="36">
        <v>0</v>
      </c>
      <c r="E138" s="36">
        <v>0</v>
      </c>
      <c r="F138" s="36">
        <v>0</v>
      </c>
      <c r="G138" s="36">
        <v>0</v>
      </c>
      <c r="H138" s="36">
        <v>0</v>
      </c>
    </row>
    <row r="139" spans="1:8">
      <c r="A139" s="30" t="s">
        <v>87</v>
      </c>
      <c r="B139" s="36">
        <v>108409</v>
      </c>
      <c r="C139" s="36">
        <v>117053</v>
      </c>
      <c r="D139" s="36">
        <v>123013</v>
      </c>
      <c r="E139" s="36">
        <v>132881</v>
      </c>
      <c r="F139" s="36">
        <v>143634</v>
      </c>
      <c r="G139" s="36">
        <v>145769</v>
      </c>
      <c r="H139" s="36">
        <v>148572</v>
      </c>
    </row>
    <row r="140" spans="1:8">
      <c r="C140" s="32"/>
      <c r="D140" s="32"/>
      <c r="E140" s="32"/>
      <c r="F140" s="32"/>
      <c r="G140" s="32"/>
      <c r="H140" s="32"/>
    </row>
    <row r="141" spans="1:8">
      <c r="C141" s="32"/>
      <c r="D141" s="32"/>
      <c r="E141" s="32"/>
      <c r="F141" s="32"/>
      <c r="G141" s="32"/>
      <c r="H141" s="32"/>
    </row>
    <row r="142" spans="1:8">
      <c r="A142" s="41" t="s">
        <v>98</v>
      </c>
    </row>
    <row r="143" spans="1:8">
      <c r="A143" s="43" t="s">
        <v>99</v>
      </c>
    </row>
    <row r="144" spans="1:8">
      <c r="A144" s="43"/>
    </row>
    <row r="145" spans="1:1">
      <c r="A145" s="43" t="s">
        <v>100</v>
      </c>
    </row>
    <row r="146" spans="1:1">
      <c r="A146" s="43"/>
    </row>
    <row r="147" spans="1:1">
      <c r="A147" s="43" t="s">
        <v>101</v>
      </c>
    </row>
    <row r="148" spans="1:1">
      <c r="A148" s="43"/>
    </row>
    <row r="149" spans="1:1">
      <c r="A149" s="44" t="s">
        <v>102</v>
      </c>
    </row>
    <row r="151" spans="1:1">
      <c r="A151" s="45" t="s">
        <v>103</v>
      </c>
    </row>
    <row r="153" spans="1:1">
      <c r="A153" s="45" t="s">
        <v>104</v>
      </c>
    </row>
    <row r="155" spans="1:1">
      <c r="A155" s="45" t="s">
        <v>105</v>
      </c>
    </row>
    <row r="156" spans="1:1">
      <c r="A156" s="19" t="s">
        <v>32</v>
      </c>
    </row>
    <row r="158" spans="1:1" ht="15.6">
      <c r="A158" s="46"/>
    </row>
  </sheetData>
  <hyperlinks>
    <hyperlink ref="A156" location="Index!A1" display="Back" xr:uid="{F67034FA-5801-42D8-AFCD-78BD89F090C3}"/>
    <hyperlink ref="A62" location="Index!A1" display="Back" xr:uid="{17A3DAEE-DF33-4638-8B82-8AFB9CA26E5F}"/>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91F62-BAF3-4DFC-B51C-9C7D30E3CE72}">
  <dimension ref="B8:Q44"/>
  <sheetViews>
    <sheetView showGridLines="0" workbookViewId="0">
      <selection activeCell="E52" sqref="E52"/>
    </sheetView>
  </sheetViews>
  <sheetFormatPr defaultRowHeight="14.4" outlineLevelRow="1"/>
  <cols>
    <col min="3" max="3" width="8.8984375" customWidth="1"/>
    <col min="4" max="4" width="9.5" customWidth="1"/>
    <col min="5" max="5" width="36.69921875" customWidth="1"/>
    <col min="6" max="6" width="5.69921875" customWidth="1"/>
    <col min="7" max="7" width="2.3984375" customWidth="1"/>
    <col min="8" max="8" width="4.69921875" customWidth="1"/>
    <col min="9" max="9" width="3.296875" customWidth="1"/>
    <col min="16" max="16" width="2.796875" customWidth="1"/>
    <col min="17" max="17" width="12.3984375" customWidth="1"/>
  </cols>
  <sheetData>
    <row r="8" spans="2:17" ht="18">
      <c r="B8" s="47" t="s">
        <v>163</v>
      </c>
      <c r="C8" s="48"/>
      <c r="D8" s="48"/>
      <c r="E8" s="48"/>
      <c r="F8" s="48"/>
      <c r="G8" s="48"/>
      <c r="H8" s="48"/>
      <c r="I8" s="48"/>
      <c r="J8" s="48"/>
      <c r="K8" s="48"/>
      <c r="L8" s="48"/>
      <c r="M8" s="48"/>
      <c r="N8" s="48"/>
      <c r="O8" s="48"/>
      <c r="P8" s="48"/>
      <c r="Q8" s="48"/>
    </row>
    <row r="9" spans="2:17" hidden="1" outlineLevel="1"/>
    <row r="10" spans="2:17" ht="15" hidden="1" outlineLevel="1" thickBot="1">
      <c r="B10" s="49" t="s">
        <v>107</v>
      </c>
      <c r="J10" s="50">
        <v>2019</v>
      </c>
      <c r="K10" s="50">
        <v>2020</v>
      </c>
      <c r="L10" s="50">
        <v>2021</v>
      </c>
      <c r="M10" s="50">
        <v>2022</v>
      </c>
      <c r="N10" s="50">
        <v>2023</v>
      </c>
      <c r="O10" s="50">
        <v>2024</v>
      </c>
      <c r="Q10" s="107" t="s">
        <v>185</v>
      </c>
    </row>
    <row r="11" spans="2:17" hidden="1" outlineLevel="1"/>
    <row r="12" spans="2:17" hidden="1" outlineLevel="1">
      <c r="B12" t="s">
        <v>164</v>
      </c>
      <c r="D12" t="s">
        <v>165</v>
      </c>
      <c r="E12" s="79" t="s">
        <v>119</v>
      </c>
      <c r="H12" t="s">
        <v>165</v>
      </c>
      <c r="J12" s="80">
        <f>'Financial Statements'!J36/'Financial Statements'!J12</f>
        <v>0.21488020865338003</v>
      </c>
      <c r="K12" s="80">
        <f>'Financial Statements'!K36/'Financial Statements'!K12</f>
        <v>0.20605419594900254</v>
      </c>
      <c r="L12" s="80">
        <f>'Financial Statements'!L36/'Financial Statements'!L12</f>
        <v>0.20336587950809187</v>
      </c>
      <c r="M12" s="80">
        <f>'Financial Statements'!M36/'Financial Statements'!M12</f>
        <v>0.19987588264130082</v>
      </c>
      <c r="N12" s="80">
        <f>'Financial Statements'!N36/'Financial Statements'!N12</f>
        <v>0.18693947431450647</v>
      </c>
      <c r="O12" s="80">
        <f>'Financial Statements'!O36/'Financial Statements'!O12</f>
        <v>0.19338461474596605</v>
      </c>
    </row>
    <row r="13" spans="2:17" hidden="1" outlineLevel="1">
      <c r="E13" s="78" t="s">
        <v>0</v>
      </c>
    </row>
    <row r="14" spans="2:17" hidden="1" outlineLevel="1"/>
    <row r="15" spans="2:17" hidden="1" outlineLevel="1">
      <c r="B15" t="s">
        <v>166</v>
      </c>
      <c r="D15" t="s">
        <v>165</v>
      </c>
      <c r="E15" s="79" t="s">
        <v>0</v>
      </c>
      <c r="H15" t="s">
        <v>165</v>
      </c>
      <c r="J15" s="81">
        <f>'Financial Statements'!J12 / 'Financial Statements'!J97</f>
        <v>1.2512537055863584</v>
      </c>
      <c r="K15" s="81">
        <f>'Financial Statements'!K12 / 'Financial Statements'!K97</f>
        <v>1.2758732816856755</v>
      </c>
      <c r="L15" s="81">
        <f>'Financial Statements'!L12 / 'Financial Statements'!L97</f>
        <v>1.2355189982013983</v>
      </c>
      <c r="M15" s="81">
        <f>'Financial Statements'!M12 / 'Financial Statements'!M97</f>
        <v>1.3350181711850955</v>
      </c>
      <c r="N15" s="81">
        <f>'Financial Statements'!N12 / 'Financial Statements'!N97</f>
        <v>1.546680021129321</v>
      </c>
      <c r="O15" s="81">
        <f>'Financial Statements'!O12 / 'Financial Statements'!O97</f>
        <v>1.6213889561963224</v>
      </c>
    </row>
    <row r="16" spans="2:17" hidden="1" outlineLevel="1">
      <c r="E16" s="78" t="s">
        <v>56</v>
      </c>
      <c r="J16" s="81"/>
      <c r="K16" s="81"/>
      <c r="L16" s="81"/>
      <c r="M16" s="81"/>
      <c r="N16" s="81"/>
      <c r="O16" s="81"/>
    </row>
    <row r="17" spans="2:17" hidden="1" outlineLevel="1">
      <c r="J17" s="81"/>
      <c r="K17" s="81"/>
      <c r="L17" s="81"/>
      <c r="M17" s="81"/>
      <c r="N17" s="81"/>
      <c r="O17" s="81"/>
    </row>
    <row r="18" spans="2:17" hidden="1" outlineLevel="1">
      <c r="B18" t="s">
        <v>167</v>
      </c>
      <c r="D18" t="s">
        <v>165</v>
      </c>
      <c r="E18" s="79" t="s">
        <v>56</v>
      </c>
      <c r="H18" t="s">
        <v>165</v>
      </c>
      <c r="J18" s="81">
        <f>'Financial Statements'!J97 / 'Financial Statements'!J117</f>
        <v>1.2721907639470051</v>
      </c>
      <c r="K18" s="81">
        <f>'Financial Statements'!K97 / 'Financial Statements'!K117</f>
        <v>1.4161725936244431</v>
      </c>
      <c r="L18" s="81">
        <f>'Financial Statements'!L97 / 'Financial Statements'!L117</f>
        <v>1.4891964585901603</v>
      </c>
      <c r="M18" s="81">
        <f>'Financial Statements'!M97 / 'Financial Statements'!M117</f>
        <v>1.561816323423874</v>
      </c>
      <c r="N18" s="81">
        <f>'Financial Statements'!N97 / 'Financial Statements'!N117</f>
        <v>1.561966910976812</v>
      </c>
      <c r="O18" s="81">
        <f>'Financial Statements'!O97 / 'Financial Statements'!O117</f>
        <v>1.5899916525759294</v>
      </c>
    </row>
    <row r="19" spans="2:17" hidden="1" outlineLevel="1">
      <c r="E19" s="78" t="s">
        <v>85</v>
      </c>
    </row>
    <row r="20" spans="2:17" hidden="1" outlineLevel="1"/>
    <row r="21" spans="2:17" hidden="1" outlineLevel="1">
      <c r="B21" s="57"/>
      <c r="C21" s="57"/>
      <c r="D21" s="57"/>
      <c r="E21" s="57"/>
      <c r="F21" s="57"/>
      <c r="G21" s="57"/>
      <c r="H21" s="57"/>
      <c r="I21" s="57"/>
      <c r="J21" s="57"/>
      <c r="K21" s="57"/>
      <c r="L21" s="57"/>
      <c r="M21" s="57"/>
      <c r="N21" s="57"/>
      <c r="O21" s="57"/>
    </row>
    <row r="22" spans="2:17" collapsed="1"/>
    <row r="23" spans="2:17" ht="18">
      <c r="B23" s="47" t="s">
        <v>168</v>
      </c>
      <c r="C23" s="48"/>
      <c r="D23" s="48"/>
      <c r="E23" s="48"/>
      <c r="F23" s="48"/>
      <c r="G23" s="48"/>
      <c r="H23" s="48"/>
      <c r="I23" s="48"/>
      <c r="J23" s="48"/>
      <c r="K23" s="48"/>
      <c r="L23" s="48"/>
      <c r="M23" s="48"/>
      <c r="N23" s="48"/>
      <c r="O23" s="48"/>
      <c r="P23" s="48"/>
      <c r="Q23" s="48"/>
    </row>
    <row r="24" spans="2:17" hidden="1" outlineLevel="1"/>
    <row r="25" spans="2:17" ht="15" hidden="1" outlineLevel="1" thickBot="1">
      <c r="B25" s="49" t="s">
        <v>107</v>
      </c>
      <c r="J25" s="50">
        <v>2019</v>
      </c>
      <c r="K25" s="50">
        <v>2020</v>
      </c>
      <c r="L25" s="50">
        <v>2021</v>
      </c>
      <c r="M25" s="50">
        <v>2022</v>
      </c>
      <c r="N25" s="50">
        <v>2023</v>
      </c>
      <c r="O25" s="50">
        <v>2024</v>
      </c>
      <c r="Q25" s="107" t="s">
        <v>185</v>
      </c>
    </row>
    <row r="26" spans="2:17" hidden="1" outlineLevel="1"/>
    <row r="27" spans="2:17" hidden="1" outlineLevel="1">
      <c r="B27" t="s">
        <v>169</v>
      </c>
      <c r="D27" t="s">
        <v>165</v>
      </c>
      <c r="E27" s="79" t="s">
        <v>119</v>
      </c>
      <c r="H27" t="s">
        <v>165</v>
      </c>
      <c r="J27" s="80">
        <f>'Financial Statements'!J36/'Financial Statements'!J29</f>
        <v>0.75885515877800014</v>
      </c>
      <c r="K27" s="80">
        <f>'Financial Statements'!K36/'Financial Statements'!K29</f>
        <v>0.7674236491777604</v>
      </c>
      <c r="L27" s="80">
        <f>'Financial Statements'!L36/'Financial Statements'!L29</f>
        <v>0.74450341167551171</v>
      </c>
      <c r="M27" s="80">
        <f>'Financial Statements'!M36/'Financial Statements'!M29</f>
        <v>0.74327547755260348</v>
      </c>
      <c r="N27" s="80">
        <f>'Financial Statements'!N36/'Financial Statements'!N29</f>
        <v>0.74266532748321612</v>
      </c>
      <c r="O27" s="80">
        <f>'Financial Statements'!O36/'Financial Statements'!O29</f>
        <v>0.74124460992569252</v>
      </c>
    </row>
    <row r="28" spans="2:17" hidden="1" outlineLevel="1">
      <c r="E28" s="78" t="s">
        <v>170</v>
      </c>
    </row>
    <row r="29" spans="2:17" hidden="1" outlineLevel="1"/>
    <row r="30" spans="2:17" hidden="1" outlineLevel="1">
      <c r="B30" t="s">
        <v>171</v>
      </c>
      <c r="D30" t="s">
        <v>165</v>
      </c>
      <c r="E30" s="79" t="s">
        <v>170</v>
      </c>
      <c r="H30" t="s">
        <v>165</v>
      </c>
      <c r="J30" s="80">
        <f>'Financial Statements'!J29 / 'Financial Statements'!J23</f>
        <v>0.99783461251593963</v>
      </c>
      <c r="K30" s="80">
        <f>'Financial Statements'!K29 / 'Financial Statements'!K23</f>
        <v>0.99746733573186896</v>
      </c>
      <c r="L30" s="80">
        <f>'Financial Statements'!L29 / 'Financial Statements'!L23</f>
        <v>0.99706523189114682</v>
      </c>
      <c r="M30" s="80">
        <f>'Financial Statements'!M29 / 'Financial Statements'!M23</f>
        <v>0.99763963859384375</v>
      </c>
      <c r="N30" s="80">
        <f>'Financial Statements'!N29 / 'Financial Statements'!N23</f>
        <v>0.997258685223259</v>
      </c>
      <c r="O30" s="80">
        <f>'Financial Statements'!O29 / 'Financial Statements'!O23</f>
        <v>0.99697008153811983</v>
      </c>
    </row>
    <row r="31" spans="2:17" hidden="1" outlineLevel="1">
      <c r="E31" s="78" t="s">
        <v>112</v>
      </c>
    </row>
    <row r="32" spans="2:17" hidden="1" outlineLevel="1"/>
    <row r="33" spans="2:15" hidden="1" outlineLevel="1">
      <c r="B33" t="s">
        <v>172</v>
      </c>
      <c r="D33" t="s">
        <v>165</v>
      </c>
      <c r="E33" s="79" t="s">
        <v>112</v>
      </c>
      <c r="H33" t="s">
        <v>165</v>
      </c>
      <c r="J33" s="80">
        <f>'Financial Statements'!J23 / 'Financial Statements'!J12</f>
        <v>0.2837781555751282</v>
      </c>
      <c r="K33" s="80">
        <f>'Financial Statements'!K23 / 'Financial Statements'!K12</f>
        <v>0.26918298300721888</v>
      </c>
      <c r="L33" s="80">
        <f>'Financial Statements'!L23 / 'Financial Statements'!L12</f>
        <v>0.27396042076539345</v>
      </c>
      <c r="M33" s="80">
        <f>'Financial Statements'!M23 / 'Financial Statements'!M12</f>
        <v>0.26954848399511877</v>
      </c>
      <c r="N33" s="80">
        <f>'Financial Statements'!N23 / 'Financial Statements'!N12</f>
        <v>0.25240621313060524</v>
      </c>
      <c r="O33" s="80">
        <f>'Financial Statements'!O23 / 'Financial Statements'!O12</f>
        <v>0.26168464837085342</v>
      </c>
    </row>
    <row r="34" spans="2:15" hidden="1" outlineLevel="1">
      <c r="E34" s="78" t="s">
        <v>0</v>
      </c>
    </row>
    <row r="35" spans="2:15" hidden="1" outlineLevel="1"/>
    <row r="36" spans="2:15" hidden="1" outlineLevel="1">
      <c r="B36" t="s">
        <v>166</v>
      </c>
      <c r="D36" t="s">
        <v>165</v>
      </c>
      <c r="E36" s="79" t="s">
        <v>0</v>
      </c>
      <c r="H36" t="s">
        <v>165</v>
      </c>
      <c r="J36" s="81">
        <f>'Financial Statements'!J12 / 'Financial Statements'!J97</f>
        <v>1.2512537055863584</v>
      </c>
      <c r="K36" s="81">
        <f>'Financial Statements'!K12 / 'Financial Statements'!K97</f>
        <v>1.2758732816856755</v>
      </c>
      <c r="L36" s="81">
        <f>'Financial Statements'!L12 / 'Financial Statements'!L97</f>
        <v>1.2355189982013983</v>
      </c>
      <c r="M36" s="81">
        <f>'Financial Statements'!M12 / 'Financial Statements'!M97</f>
        <v>1.3350181711850955</v>
      </c>
      <c r="N36" s="81">
        <f>'Financial Statements'!N12 / 'Financial Statements'!N97</f>
        <v>1.546680021129321</v>
      </c>
      <c r="O36" s="81">
        <f>'Financial Statements'!O12 / 'Financial Statements'!O97</f>
        <v>1.6213889561963224</v>
      </c>
    </row>
    <row r="37" spans="2:15" hidden="1" outlineLevel="1">
      <c r="E37" s="78" t="s">
        <v>56</v>
      </c>
      <c r="J37" s="81"/>
      <c r="K37" s="81"/>
      <c r="L37" s="81"/>
      <c r="M37" s="81"/>
      <c r="N37" s="81"/>
      <c r="O37" s="81"/>
    </row>
    <row r="38" spans="2:15" hidden="1" outlineLevel="1">
      <c r="J38" s="81"/>
      <c r="K38" s="81"/>
      <c r="L38" s="81"/>
      <c r="M38" s="81"/>
      <c r="N38" s="81"/>
      <c r="O38" s="81"/>
    </row>
    <row r="39" spans="2:15" hidden="1" outlineLevel="1">
      <c r="B39" t="s">
        <v>167</v>
      </c>
      <c r="D39" t="s">
        <v>165</v>
      </c>
      <c r="E39" s="79" t="s">
        <v>56</v>
      </c>
      <c r="H39" t="s">
        <v>165</v>
      </c>
      <c r="J39" s="81">
        <f>'Financial Statements'!J97 / 'Financial Statements'!J117</f>
        <v>1.2721907639470051</v>
      </c>
      <c r="K39" s="81">
        <f>'Financial Statements'!K97 / 'Financial Statements'!K117</f>
        <v>1.4161725936244431</v>
      </c>
      <c r="L39" s="81">
        <f>'Financial Statements'!L97 / 'Financial Statements'!L117</f>
        <v>1.4891964585901603</v>
      </c>
      <c r="M39" s="81">
        <f>'Financial Statements'!M97 / 'Financial Statements'!M117</f>
        <v>1.561816323423874</v>
      </c>
      <c r="N39" s="81">
        <f>'Financial Statements'!N97 / 'Financial Statements'!N117</f>
        <v>1.561966910976812</v>
      </c>
      <c r="O39" s="81">
        <f>'Financial Statements'!O97 / 'Financial Statements'!O117</f>
        <v>1.5899916525759294</v>
      </c>
    </row>
    <row r="40" spans="2:15" hidden="1" outlineLevel="1">
      <c r="E40" s="78" t="s">
        <v>85</v>
      </c>
    </row>
    <row r="41" spans="2:15" hidden="1" outlineLevel="1"/>
    <row r="42" spans="2:15" hidden="1" outlineLevel="1"/>
    <row r="43" spans="2:15" hidden="1" outlineLevel="1">
      <c r="B43" s="57"/>
      <c r="C43" s="57"/>
      <c r="D43" s="57"/>
      <c r="E43" s="57"/>
      <c r="F43" s="57"/>
      <c r="G43" s="57"/>
      <c r="H43" s="57"/>
      <c r="I43" s="57"/>
      <c r="J43" s="57"/>
      <c r="K43" s="57"/>
      <c r="L43" s="57"/>
      <c r="M43" s="57"/>
      <c r="N43" s="57"/>
      <c r="O43" s="57"/>
    </row>
    <row r="44" spans="2:15" collapsed="1"/>
  </sheetData>
  <sheetProtection algorithmName="SHA-512" hashValue="ZmyVFD6v2OEpCnwifyETRWTT185S+lu5vzOkWxOn54lKr9/wpZ1vyoDvwwn1LO/aU6EG8veGWWoNWaUOJrAKCA==" saltValue="JBUTixniz4xYdvM7hjGE0w==" spinCount="100000" sheet="1" objects="1" scenarios="1" formatColumns="0" formatRows="0"/>
  <pageMargins left="0.7" right="0.7" top="0.75" bottom="0.75" header="0.3" footer="0.3"/>
  <pageSetup orientation="portrait" r:id="rId1"/>
  <drawing r:id="rId2"/>
  <extLst>
    <ext xmlns:x14="http://schemas.microsoft.com/office/spreadsheetml/2009/9/main" uri="{05C60535-1F16-4fd2-B633-F4F36F0B64E0}">
      <x14:sparklineGroups xmlns:xm="http://schemas.microsoft.com/office/excel/2006/main">
        <x14:sparklineGroup displayEmptyCellsAs="gap" markers="1" xr2:uid="{0F6438F8-4A69-4BF6-80D7-429D8A8463D7}">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Ratios!J12:O12</xm:f>
              <xm:sqref>Q12</xm:sqref>
            </x14:sparkline>
          </x14:sparklines>
        </x14:sparklineGroup>
        <x14:sparklineGroup displayEmptyCellsAs="gap" markers="1" xr2:uid="{DA35FD2D-2CB5-4F75-A300-F5C52EEF79E8}">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Ratios!J15:O15</xm:f>
              <xm:sqref>Q15</xm:sqref>
            </x14:sparkline>
          </x14:sparklines>
        </x14:sparklineGroup>
        <x14:sparklineGroup displayEmptyCellsAs="gap" markers="1" xr2:uid="{38D65046-827C-48CD-BCD3-B47976026D97}">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Ratios!J18:O18</xm:f>
              <xm:sqref>Q18</xm:sqref>
            </x14:sparkline>
          </x14:sparklines>
        </x14:sparklineGroup>
        <x14:sparklineGroup displayEmptyCellsAs="gap" markers="1" xr2:uid="{2B1056B9-7A40-4ACA-BA86-966DB071A8EF}">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Ratios!J27:O27</xm:f>
              <xm:sqref>Q27</xm:sqref>
            </x14:sparkline>
          </x14:sparklines>
        </x14:sparklineGroup>
        <x14:sparklineGroup displayEmptyCellsAs="gap" markers="1" xr2:uid="{E0450ECB-C266-4D3D-AF9E-9E1BD751A807}">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Ratios!J30:O30</xm:f>
              <xm:sqref>Q30</xm:sqref>
            </x14:sparkline>
          </x14:sparklines>
        </x14:sparklineGroup>
        <x14:sparklineGroup displayEmptyCellsAs="gap" markers="1" xr2:uid="{6C64FBBC-8B13-4D12-BF8A-6C13221EC3E1}">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Ratios!J33:O33</xm:f>
              <xm:sqref>Q33</xm:sqref>
            </x14:sparkline>
          </x14:sparklines>
        </x14:sparklineGroup>
        <x14:sparklineGroup displayEmptyCellsAs="gap" markers="1" xr2:uid="{46C8B376-7767-4E7A-ACEB-A04CF35571D8}">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Ratios!J36:O36</xm:f>
              <xm:sqref>Q36</xm:sqref>
            </x14:sparkline>
          </x14:sparklines>
        </x14:sparklineGroup>
        <x14:sparklineGroup displayEmptyCellsAs="gap" markers="1" xr2:uid="{5497740C-0C61-4B80-A706-217CEF5F45E6}">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Ratios!J39:O39</xm:f>
              <xm:sqref>Q39</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66211-BF13-4B78-A318-A765266ECA4D}">
  <dimension ref="B8:W17"/>
  <sheetViews>
    <sheetView showGridLines="0" workbookViewId="0">
      <selection activeCell="H8" sqref="H8"/>
    </sheetView>
  </sheetViews>
  <sheetFormatPr defaultRowHeight="14.4"/>
  <sheetData>
    <row r="8" spans="2:23">
      <c r="J8" s="82"/>
      <c r="K8" s="83"/>
      <c r="L8" s="84" t="s">
        <v>173</v>
      </c>
      <c r="M8" s="85"/>
      <c r="N8" s="86"/>
      <c r="O8" s="87"/>
    </row>
    <row r="9" spans="2:23">
      <c r="J9" s="88">
        <v>2019</v>
      </c>
      <c r="K9" s="89">
        <v>2020</v>
      </c>
      <c r="L9" s="89">
        <v>2021</v>
      </c>
      <c r="M9" s="89">
        <v>2022</v>
      </c>
      <c r="N9" s="89">
        <v>2023</v>
      </c>
      <c r="O9" s="90">
        <v>2024</v>
      </c>
    </row>
    <row r="10" spans="2:23">
      <c r="J10" s="91">
        <f t="shared" ref="J10:O10" si="0">B17 * J17 * R17</f>
        <v>0.34205349476681629</v>
      </c>
      <c r="K10" s="92">
        <f t="shared" si="0"/>
        <v>0.37231041985655572</v>
      </c>
      <c r="L10" s="92">
        <f t="shared" si="0"/>
        <v>0.37417908775075653</v>
      </c>
      <c r="M10" s="92">
        <f t="shared" si="0"/>
        <v>0.41675184307243979</v>
      </c>
      <c r="N10" s="92">
        <f t="shared" si="0"/>
        <v>0.45162016201620159</v>
      </c>
      <c r="O10" s="93">
        <f t="shared" si="0"/>
        <v>0.49854455170052009</v>
      </c>
    </row>
    <row r="15" spans="2:23">
      <c r="B15" s="82"/>
      <c r="C15" s="83"/>
      <c r="D15" s="84" t="str">
        <f>Ratios!$B$12</f>
        <v xml:space="preserve">Net Profit Margin </v>
      </c>
      <c r="E15" s="85"/>
      <c r="F15" s="86"/>
      <c r="G15" s="87"/>
      <c r="J15" s="82"/>
      <c r="K15" s="83"/>
      <c r="L15" s="84" t="str">
        <f>Ratios!B15</f>
        <v>Asset Turnover</v>
      </c>
      <c r="M15" s="85"/>
      <c r="N15" s="86"/>
      <c r="O15" s="87"/>
      <c r="R15" s="82"/>
      <c r="S15" s="83"/>
      <c r="T15" s="84" t="str">
        <f>Ratios!B18</f>
        <v>Equity Multiplier</v>
      </c>
      <c r="U15" s="85"/>
      <c r="V15" s="86"/>
      <c r="W15" s="87"/>
    </row>
    <row r="16" spans="2:23">
      <c r="B16" s="88">
        <v>2019</v>
      </c>
      <c r="C16" s="89">
        <v>2020</v>
      </c>
      <c r="D16" s="89">
        <v>2021</v>
      </c>
      <c r="E16" s="89">
        <v>2022</v>
      </c>
      <c r="F16" s="89">
        <v>2023</v>
      </c>
      <c r="G16" s="90">
        <v>2024</v>
      </c>
      <c r="J16" s="88">
        <v>2019</v>
      </c>
      <c r="K16" s="89">
        <v>2020</v>
      </c>
      <c r="L16" s="89">
        <v>2021</v>
      </c>
      <c r="M16" s="89">
        <v>2022</v>
      </c>
      <c r="N16" s="89">
        <v>2023</v>
      </c>
      <c r="O16" s="90">
        <v>2024</v>
      </c>
      <c r="R16" s="88">
        <v>2019</v>
      </c>
      <c r="S16" s="89">
        <v>2020</v>
      </c>
      <c r="T16" s="89">
        <v>2021</v>
      </c>
      <c r="U16" s="89">
        <v>2022</v>
      </c>
      <c r="V16" s="89">
        <v>2023</v>
      </c>
      <c r="W16" s="90">
        <v>2024</v>
      </c>
    </row>
    <row r="17" spans="2:23">
      <c r="B17" s="91">
        <f>Ratios!J12</f>
        <v>0.21488020865338003</v>
      </c>
      <c r="C17" s="92">
        <f>Ratios!K12</f>
        <v>0.20605419594900254</v>
      </c>
      <c r="D17" s="92">
        <f>Ratios!L12</f>
        <v>0.20336587950809187</v>
      </c>
      <c r="E17" s="92">
        <f>Ratios!M12</f>
        <v>0.19987588264130082</v>
      </c>
      <c r="F17" s="92">
        <f>Ratios!N12</f>
        <v>0.18693947431450647</v>
      </c>
      <c r="G17" s="93">
        <f>Ratios!O12</f>
        <v>0.19338461474596605</v>
      </c>
      <c r="J17" s="94">
        <f>Ratios!J15</f>
        <v>1.2512537055863584</v>
      </c>
      <c r="K17" s="95">
        <f>Ratios!K15</f>
        <v>1.2758732816856755</v>
      </c>
      <c r="L17" s="95">
        <f>Ratios!L15</f>
        <v>1.2355189982013983</v>
      </c>
      <c r="M17" s="95">
        <f>Ratios!M15</f>
        <v>1.3350181711850955</v>
      </c>
      <c r="N17" s="95">
        <f>Ratios!N15</f>
        <v>1.546680021129321</v>
      </c>
      <c r="O17" s="96">
        <f>Ratios!O15</f>
        <v>1.6213889561963224</v>
      </c>
      <c r="R17" s="94">
        <f>Ratios!J18</f>
        <v>1.2721907639470051</v>
      </c>
      <c r="S17" s="95">
        <f>Ratios!K18</f>
        <v>1.4161725936244431</v>
      </c>
      <c r="T17" s="95">
        <f>Ratios!L18</f>
        <v>1.4891964585901603</v>
      </c>
      <c r="U17" s="95">
        <f>Ratios!M18</f>
        <v>1.561816323423874</v>
      </c>
      <c r="V17" s="95">
        <f>Ratios!N18</f>
        <v>1.561966910976812</v>
      </c>
      <c r="W17" s="96">
        <f>Ratios!O18</f>
        <v>1.5899916525759294</v>
      </c>
    </row>
  </sheetData>
  <sheetProtection algorithmName="SHA-512" hashValue="C/L6XOwYs9D5zpcyArvmErxb/l7Xx5t14soGCDxQXTbbRELmnEdTVhyVuBBACqf/G9DUiT9GeWkSoeItzTYSfA==" saltValue="p1sDx2g4j+nQXBMD/uzrTA==" spinCount="100000" sheet="1" objects="1" scenarios="1" formatColumns="0" formatRows="0"/>
  <conditionalFormatting sqref="B17:G17">
    <cfRule type="colorScale" priority="6">
      <colorScale>
        <cfvo type="min"/>
        <cfvo type="max"/>
        <color rgb="FFA3BCF3"/>
        <color rgb="FF3B70E5"/>
      </colorScale>
    </cfRule>
    <cfRule type="colorScale" priority="7">
      <colorScale>
        <cfvo type="min"/>
        <cfvo type="max"/>
        <color rgb="FFE2BAE4"/>
        <color rgb="FF9E3FA3"/>
      </colorScale>
    </cfRule>
  </conditionalFormatting>
  <conditionalFormatting sqref="J10:O10">
    <cfRule type="colorScale" priority="8">
      <colorScale>
        <cfvo type="min"/>
        <cfvo type="max"/>
        <color rgb="FFA3BCF3"/>
        <color rgb="FF3B70E5"/>
      </colorScale>
    </cfRule>
    <cfRule type="colorScale" priority="13">
      <colorScale>
        <cfvo type="min"/>
        <cfvo type="max"/>
        <color rgb="FFE2BAE4"/>
        <color rgb="FF9E3FA3"/>
      </colorScale>
    </cfRule>
  </conditionalFormatting>
  <conditionalFormatting sqref="J17:O17">
    <cfRule type="colorScale" priority="5">
      <colorScale>
        <cfvo type="min"/>
        <cfvo type="max"/>
        <color rgb="FFA3BCF3"/>
        <color rgb="FF3B70E5"/>
      </colorScale>
    </cfRule>
    <cfRule type="colorScale" priority="11">
      <colorScale>
        <cfvo type="min"/>
        <cfvo type="max"/>
        <color rgb="FFE2BAE4"/>
        <color rgb="FF9E3FA3"/>
      </colorScale>
    </cfRule>
  </conditionalFormatting>
  <conditionalFormatting sqref="R17:W17">
    <cfRule type="colorScale" priority="1">
      <colorScale>
        <cfvo type="min"/>
        <cfvo type="max"/>
        <color rgb="FFA3BCF3"/>
        <color rgb="FF3B70E5"/>
      </colorScale>
    </cfRule>
    <cfRule type="colorScale" priority="2">
      <colorScale>
        <cfvo type="min"/>
        <cfvo type="max"/>
        <color rgb="FFE2BAE4"/>
        <color rgb="FF9E3FA3"/>
      </colorScale>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CDA6B-5DC6-434C-A8D9-107A6AC9EA97}">
  <dimension ref="B7:W24"/>
  <sheetViews>
    <sheetView showGridLines="0" workbookViewId="0">
      <selection activeCell="G10" sqref="G10"/>
    </sheetView>
  </sheetViews>
  <sheetFormatPr defaultRowHeight="14.4"/>
  <sheetData>
    <row r="7" spans="2:23">
      <c r="J7" s="82"/>
      <c r="K7" s="83"/>
      <c r="L7" s="84" t="s">
        <v>173</v>
      </c>
      <c r="M7" s="85"/>
      <c r="N7" s="86"/>
      <c r="O7" s="87"/>
    </row>
    <row r="8" spans="2:23">
      <c r="J8" s="88">
        <v>2019</v>
      </c>
      <c r="K8" s="89">
        <v>2020</v>
      </c>
      <c r="L8" s="89">
        <v>2021</v>
      </c>
      <c r="M8" s="89">
        <v>2022</v>
      </c>
      <c r="N8" s="89">
        <v>2023</v>
      </c>
      <c r="O8" s="90">
        <v>2024</v>
      </c>
    </row>
    <row r="9" spans="2:23">
      <c r="J9" s="91">
        <f>B16*F24*J16*N24*R16</f>
        <v>0.34205349476681635</v>
      </c>
      <c r="K9" s="92">
        <f t="shared" ref="K9:O9" si="0">C16*G24*K16*O24*S16</f>
        <v>0.37231041985655572</v>
      </c>
      <c r="L9" s="92">
        <f t="shared" si="0"/>
        <v>0.37417908775075653</v>
      </c>
      <c r="M9" s="92">
        <f t="shared" si="0"/>
        <v>0.41675184307243979</v>
      </c>
      <c r="N9" s="92">
        <f t="shared" si="0"/>
        <v>0.45162016201620159</v>
      </c>
      <c r="O9" s="93">
        <f t="shared" si="0"/>
        <v>0.49854455170052009</v>
      </c>
    </row>
    <row r="14" spans="2:23">
      <c r="B14" s="82"/>
      <c r="C14" s="83"/>
      <c r="D14" s="84" t="str">
        <f>Ratios!B27</f>
        <v>Tax Burden</v>
      </c>
      <c r="E14" s="85"/>
      <c r="F14" s="86"/>
      <c r="G14" s="87"/>
      <c r="J14" s="82"/>
      <c r="K14" s="83"/>
      <c r="L14" s="84" t="str">
        <f>Ratios!B33</f>
        <v>EBIT Margin</v>
      </c>
      <c r="M14" s="85"/>
      <c r="N14" s="86"/>
      <c r="O14" s="87"/>
      <c r="R14" s="82"/>
      <c r="S14" s="83"/>
      <c r="T14" s="84" t="str">
        <f>Ratios!B39</f>
        <v>Equity Multiplier</v>
      </c>
      <c r="U14" s="85"/>
      <c r="V14" s="86"/>
      <c r="W14" s="87"/>
    </row>
    <row r="15" spans="2:23">
      <c r="B15" s="88">
        <v>2019</v>
      </c>
      <c r="C15" s="89">
        <v>2020</v>
      </c>
      <c r="D15" s="89">
        <v>2021</v>
      </c>
      <c r="E15" s="89">
        <v>2022</v>
      </c>
      <c r="F15" s="89">
        <v>2023</v>
      </c>
      <c r="G15" s="90">
        <v>2024</v>
      </c>
      <c r="J15" s="88">
        <v>2019</v>
      </c>
      <c r="K15" s="89">
        <v>2020</v>
      </c>
      <c r="L15" s="89">
        <v>2021</v>
      </c>
      <c r="M15" s="89">
        <v>2022</v>
      </c>
      <c r="N15" s="89">
        <v>2023</v>
      </c>
      <c r="O15" s="90">
        <v>2024</v>
      </c>
      <c r="R15" s="88">
        <v>2019</v>
      </c>
      <c r="S15" s="89">
        <v>2020</v>
      </c>
      <c r="T15" s="89">
        <v>2021</v>
      </c>
      <c r="U15" s="89">
        <v>2022</v>
      </c>
      <c r="V15" s="89">
        <v>2023</v>
      </c>
      <c r="W15" s="90">
        <v>2024</v>
      </c>
    </row>
    <row r="16" spans="2:23">
      <c r="B16" s="91">
        <f>Ratios!J27</f>
        <v>0.75885515877800014</v>
      </c>
      <c r="C16" s="92">
        <f>Ratios!K27</f>
        <v>0.7674236491777604</v>
      </c>
      <c r="D16" s="92">
        <f>Ratios!L27</f>
        <v>0.74450341167551171</v>
      </c>
      <c r="E16" s="92">
        <f>Ratios!M27</f>
        <v>0.74327547755260348</v>
      </c>
      <c r="F16" s="92">
        <f>Ratios!N27</f>
        <v>0.74266532748321612</v>
      </c>
      <c r="G16" s="93">
        <f>Ratios!O27</f>
        <v>0.74124460992569252</v>
      </c>
      <c r="J16" s="94">
        <f>Ratios!J33</f>
        <v>0.2837781555751282</v>
      </c>
      <c r="K16" s="95">
        <f>Ratios!K33</f>
        <v>0.26918298300721888</v>
      </c>
      <c r="L16" s="95">
        <f>Ratios!L33</f>
        <v>0.27396042076539345</v>
      </c>
      <c r="M16" s="95">
        <f>Ratios!M33</f>
        <v>0.26954848399511877</v>
      </c>
      <c r="N16" s="95">
        <f>Ratios!N33</f>
        <v>0.25240621313060524</v>
      </c>
      <c r="O16" s="96">
        <f>Ratios!O33</f>
        <v>0.26168464837085342</v>
      </c>
      <c r="R16" s="94">
        <f>Ratios!J39</f>
        <v>1.2721907639470051</v>
      </c>
      <c r="S16" s="95">
        <f>Ratios!K39</f>
        <v>1.4161725936244431</v>
      </c>
      <c r="T16" s="95">
        <f>Ratios!L39</f>
        <v>1.4891964585901603</v>
      </c>
      <c r="U16" s="95">
        <f>Ratios!M39</f>
        <v>1.561816323423874</v>
      </c>
      <c r="V16" s="95">
        <f>Ratios!N39</f>
        <v>1.561966910976812</v>
      </c>
      <c r="W16" s="96">
        <f>Ratios!O39</f>
        <v>1.5899916525759294</v>
      </c>
    </row>
    <row r="22" spans="6:19">
      <c r="F22" s="82"/>
      <c r="G22" s="83"/>
      <c r="H22" s="84" t="str">
        <f>Ratios!B30</f>
        <v>Interest Burden</v>
      </c>
      <c r="I22" s="85"/>
      <c r="J22" s="86"/>
      <c r="K22" s="87"/>
      <c r="N22" s="82"/>
      <c r="O22" s="83"/>
      <c r="P22" s="84" t="str">
        <f>Ratios!B36</f>
        <v>Asset Turnover</v>
      </c>
      <c r="Q22" s="85"/>
      <c r="R22" s="86"/>
      <c r="S22" s="87"/>
    </row>
    <row r="23" spans="6:19">
      <c r="F23" s="88">
        <v>2019</v>
      </c>
      <c r="G23" s="89">
        <v>2020</v>
      </c>
      <c r="H23" s="89">
        <v>2021</v>
      </c>
      <c r="I23" s="89">
        <v>2022</v>
      </c>
      <c r="J23" s="89">
        <v>2023</v>
      </c>
      <c r="K23" s="90">
        <v>2024</v>
      </c>
      <c r="N23" s="88">
        <v>2019</v>
      </c>
      <c r="O23" s="89">
        <v>2020</v>
      </c>
      <c r="P23" s="89">
        <v>2021</v>
      </c>
      <c r="Q23" s="89">
        <v>2022</v>
      </c>
      <c r="R23" s="89">
        <v>2023</v>
      </c>
      <c r="S23" s="90">
        <v>2024</v>
      </c>
    </row>
    <row r="24" spans="6:19">
      <c r="F24" s="91">
        <f>Ratios!J30</f>
        <v>0.99783461251593963</v>
      </c>
      <c r="G24" s="92">
        <f>Ratios!K30</f>
        <v>0.99746733573186896</v>
      </c>
      <c r="H24" s="92">
        <f>Ratios!L30</f>
        <v>0.99706523189114682</v>
      </c>
      <c r="I24" s="92">
        <f>Ratios!M30</f>
        <v>0.99763963859384375</v>
      </c>
      <c r="J24" s="92">
        <f>Ratios!N30</f>
        <v>0.997258685223259</v>
      </c>
      <c r="K24" s="93">
        <f>Ratios!O30</f>
        <v>0.99697008153811983</v>
      </c>
      <c r="N24" s="94">
        <f>Ratios!J36</f>
        <v>1.2512537055863584</v>
      </c>
      <c r="O24" s="95">
        <f>Ratios!K36</f>
        <v>1.2758732816856755</v>
      </c>
      <c r="P24" s="95">
        <f>Ratios!L36</f>
        <v>1.2355189982013983</v>
      </c>
      <c r="Q24" s="95">
        <f>Ratios!M36</f>
        <v>1.3350181711850955</v>
      </c>
      <c r="R24" s="95">
        <f>Ratios!N36</f>
        <v>1.546680021129321</v>
      </c>
      <c r="S24" s="96">
        <f>Ratios!O36</f>
        <v>1.6213889561963224</v>
      </c>
    </row>
  </sheetData>
  <sheetProtection algorithmName="SHA-512" hashValue="e0JOfIWjq2mIs906ZzJ67zc78ltS1VMCFd8D/EllxNcdINWoKwIJTMKWK+meYuWNrst+AQQ+6qzeXClPDhOzjQ==" saltValue="eLZw5G2RAXSwJyO1+ssAxA==" spinCount="100000" sheet="1" objects="1" scenarios="1" formatColumns="0" formatRows="0"/>
  <conditionalFormatting sqref="B16:G16">
    <cfRule type="colorScale" priority="8">
      <colorScale>
        <cfvo type="min"/>
        <cfvo type="max"/>
        <color rgb="FFA3BCF3"/>
        <color rgb="FF3B70E5"/>
      </colorScale>
    </cfRule>
    <cfRule type="colorScale" priority="9">
      <colorScale>
        <cfvo type="min"/>
        <cfvo type="max"/>
        <color rgb="FFE2BAE4"/>
        <color rgb="FF9E3FA3"/>
      </colorScale>
    </cfRule>
  </conditionalFormatting>
  <conditionalFormatting sqref="F24:K24">
    <cfRule type="colorScale" priority="3">
      <colorScale>
        <cfvo type="min"/>
        <cfvo type="max"/>
        <color rgb="FFA3BCF3"/>
        <color rgb="FF3B70E5"/>
      </colorScale>
    </cfRule>
    <cfRule type="colorScale" priority="4">
      <colorScale>
        <cfvo type="min"/>
        <cfvo type="max"/>
        <color rgb="FFE2BAE4"/>
        <color rgb="FF9E3FA3"/>
      </colorScale>
    </cfRule>
  </conditionalFormatting>
  <conditionalFormatting sqref="J9:O9">
    <cfRule type="colorScale" priority="11">
      <colorScale>
        <cfvo type="min"/>
        <cfvo type="max"/>
        <color rgb="FFA3BCF3"/>
        <color rgb="FF3B70E5"/>
      </colorScale>
    </cfRule>
    <cfRule type="colorScale" priority="12">
      <colorScale>
        <cfvo type="min"/>
        <cfvo type="max"/>
        <color rgb="FFE2BAE4"/>
        <color rgb="FF9E3FA3"/>
      </colorScale>
    </cfRule>
  </conditionalFormatting>
  <conditionalFormatting sqref="J16:O16">
    <cfRule type="colorScale" priority="7">
      <colorScale>
        <cfvo type="min"/>
        <cfvo type="max"/>
        <color rgb="FFA3BCF3"/>
        <color rgb="FF3B70E5"/>
      </colorScale>
    </cfRule>
    <cfRule type="colorScale" priority="10">
      <colorScale>
        <cfvo type="min"/>
        <cfvo type="max"/>
        <color rgb="FFE2BAE4"/>
        <color rgb="FF9E3FA3"/>
      </colorScale>
    </cfRule>
  </conditionalFormatting>
  <conditionalFormatting sqref="N24:S24">
    <cfRule type="colorScale" priority="1">
      <colorScale>
        <cfvo type="min"/>
        <cfvo type="max"/>
        <color rgb="FFA3BCF3"/>
        <color rgb="FF3B70E5"/>
      </colorScale>
    </cfRule>
    <cfRule type="colorScale" priority="2">
      <colorScale>
        <cfvo type="min"/>
        <cfvo type="max"/>
        <color rgb="FFE2BAE4"/>
        <color rgb="FF9E3FA3"/>
      </colorScale>
    </cfRule>
  </conditionalFormatting>
  <conditionalFormatting sqref="R16:W16">
    <cfRule type="colorScale" priority="5">
      <colorScale>
        <cfvo type="min"/>
        <cfvo type="max"/>
        <color rgb="FFA3BCF3"/>
        <color rgb="FF3B70E5"/>
      </colorScale>
    </cfRule>
    <cfRule type="colorScale" priority="6">
      <colorScale>
        <cfvo type="min"/>
        <cfvo type="max"/>
        <color rgb="FFE2BAE4"/>
        <color rgb="FF9E3FA3"/>
      </colorScale>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Cover</vt:lpstr>
      <vt:lpstr>Financial Statements</vt:lpstr>
      <vt:lpstr>DATA</vt:lpstr>
      <vt:lpstr>Ratios</vt:lpstr>
      <vt:lpstr>3-Step DuPont</vt:lpstr>
      <vt:lpstr>5-Step DuPont</vt:lpstr>
      <vt:lpstr>'Financial Statements'!Print_Area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Aarav Singh</dc:creator>
  <cp:lastModifiedBy>Aarav Singh</cp:lastModifiedBy>
  <cp:lastPrinted>2025-11-30T07:26:59Z</cp:lastPrinted>
  <dcterms:created xsi:type="dcterms:W3CDTF">2025-11-29T09:32:54Z</dcterms:created>
  <dcterms:modified xsi:type="dcterms:W3CDTF">2025-12-01T13:44:15Z</dcterms:modified>
</cp:coreProperties>
</file>